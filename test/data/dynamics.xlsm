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adeg\Documents\"/>
    </mc:Choice>
  </mc:AlternateContent>
  <xr:revisionPtr revIDLastSave="0" documentId="13_ncr:1_{DA1095DB-FF05-4022-8FF4-06831AB6C66D}" xr6:coauthVersionLast="47" xr6:coauthVersionMax="47" xr10:uidLastSave="{00000000-0000-0000-0000-000000000000}"/>
  <bookViews>
    <workbookView xWindow="7512" yWindow="864" windowWidth="15900" windowHeight="12240" firstSheet="4" activeTab="9" xr2:uid="{BA5CC473-EA26-4933-B98B-9396EEBF8ECA}"/>
  </bookViews>
  <sheets>
    <sheet name="start_pair" sheetId="1" r:id="rId1"/>
    <sheet name="start_tank_pair" sheetId="4" r:id="rId2"/>
    <sheet name="move_pair" sheetId="6" r:id="rId3"/>
    <sheet name="move_tank_pair" sheetId="7" r:id="rId4"/>
    <sheet name="run_to_position" sheetId="8" r:id="rId5"/>
    <sheet name="run_for_degrees" sheetId="10" r:id="rId6"/>
    <sheet name="run_to_degrees_counted" sheetId="11" r:id="rId7"/>
    <sheet name="run_for_seconds" sheetId="12" r:id="rId8"/>
    <sheet name="start_single" sheetId="9" r:id="rId9"/>
    <sheet name="color" sheetId="13" r:id="rId10"/>
    <sheet name="abaqus" sheetId="2" state="hidden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7" i="13" l="1"/>
  <c r="U2" i="13"/>
  <c r="T2" i="13"/>
  <c r="F26" i="13"/>
  <c r="F27" i="13" s="1"/>
  <c r="F23" i="13"/>
  <c r="F24" i="13" s="1"/>
  <c r="F20" i="13"/>
  <c r="F21" i="13" s="1"/>
  <c r="F18" i="13"/>
  <c r="F17" i="13"/>
  <c r="S77" i="6"/>
  <c r="AA2" i="13"/>
  <c r="AB2" i="13"/>
  <c r="J2" i="13" s="1"/>
  <c r="L2" i="13" s="1"/>
  <c r="S2" i="13" s="1"/>
  <c r="AA3" i="13"/>
  <c r="AB3" i="13"/>
  <c r="AA4" i="13"/>
  <c r="AB4" i="13"/>
  <c r="AA5" i="13"/>
  <c r="AB5" i="13"/>
  <c r="AA6" i="13"/>
  <c r="I6" i="13" s="1"/>
  <c r="K6" i="13" s="1"/>
  <c r="AB6" i="13"/>
  <c r="J6" i="13" s="1"/>
  <c r="L6" i="13" s="1"/>
  <c r="S6" i="13" s="1"/>
  <c r="AA7" i="13"/>
  <c r="I7" i="13" s="1"/>
  <c r="K7" i="13" s="1"/>
  <c r="AB7" i="13"/>
  <c r="J7" i="13" s="1"/>
  <c r="L7" i="13" s="1"/>
  <c r="S7" i="13" s="1"/>
  <c r="AA8" i="13"/>
  <c r="I8" i="13" s="1"/>
  <c r="K8" i="13" s="1"/>
  <c r="AB8" i="13"/>
  <c r="J8" i="13" s="1"/>
  <c r="L8" i="13" s="1"/>
  <c r="S8" i="13" s="1"/>
  <c r="AA9" i="13"/>
  <c r="I9" i="13" s="1"/>
  <c r="K9" i="13" s="1"/>
  <c r="AB9" i="13"/>
  <c r="J9" i="13" s="1"/>
  <c r="L9" i="13" s="1"/>
  <c r="S9" i="13" s="1"/>
  <c r="AA10" i="13"/>
  <c r="AB10" i="13"/>
  <c r="AA11" i="13"/>
  <c r="AB11" i="13"/>
  <c r="AA12" i="13"/>
  <c r="I12" i="13" s="1"/>
  <c r="K12" i="13" s="1"/>
  <c r="AB12" i="13"/>
  <c r="AA13" i="13"/>
  <c r="AB13" i="13"/>
  <c r="AA14" i="13"/>
  <c r="I14" i="13" s="1"/>
  <c r="K14" i="13" s="1"/>
  <c r="AB14" i="13"/>
  <c r="J14" i="13" s="1"/>
  <c r="L14" i="13" s="1"/>
  <c r="S14" i="13" s="1"/>
  <c r="AA15" i="13"/>
  <c r="I15" i="13" s="1"/>
  <c r="K15" i="13" s="1"/>
  <c r="AB15" i="13"/>
  <c r="J15" i="13" s="1"/>
  <c r="L15" i="13" s="1"/>
  <c r="S15" i="13" s="1"/>
  <c r="AA16" i="13"/>
  <c r="I16" i="13" s="1"/>
  <c r="K16" i="13" s="1"/>
  <c r="AB16" i="13"/>
  <c r="J16" i="13" s="1"/>
  <c r="L16" i="13" s="1"/>
  <c r="S16" i="13" s="1"/>
  <c r="AA17" i="13"/>
  <c r="I17" i="13" s="1"/>
  <c r="K17" i="13" s="1"/>
  <c r="AB17" i="13"/>
  <c r="J17" i="13" s="1"/>
  <c r="L17" i="13" s="1"/>
  <c r="S17" i="13" s="1"/>
  <c r="AA18" i="13"/>
  <c r="I18" i="13" s="1"/>
  <c r="K18" i="13" s="1"/>
  <c r="AB18" i="13"/>
  <c r="J18" i="13" s="1"/>
  <c r="L18" i="13" s="1"/>
  <c r="S18" i="13" s="1"/>
  <c r="AA19" i="13"/>
  <c r="I19" i="13" s="1"/>
  <c r="K19" i="13" s="1"/>
  <c r="AB19" i="13"/>
  <c r="AA20" i="13"/>
  <c r="I20" i="13" s="1"/>
  <c r="K20" i="13" s="1"/>
  <c r="AB20" i="13"/>
  <c r="AA21" i="13"/>
  <c r="AB21" i="13"/>
  <c r="AA22" i="13"/>
  <c r="I22" i="13" s="1"/>
  <c r="K22" i="13" s="1"/>
  <c r="R22" i="13" s="1"/>
  <c r="AB22" i="13"/>
  <c r="J22" i="13" s="1"/>
  <c r="L22" i="13" s="1"/>
  <c r="S22" i="13" s="1"/>
  <c r="AA23" i="13"/>
  <c r="I23" i="13" s="1"/>
  <c r="K23" i="13" s="1"/>
  <c r="AB23" i="13"/>
  <c r="J23" i="13" s="1"/>
  <c r="L23" i="13" s="1"/>
  <c r="AA24" i="13"/>
  <c r="I24" i="13" s="1"/>
  <c r="K24" i="13" s="1"/>
  <c r="AB24" i="13"/>
  <c r="J24" i="13" s="1"/>
  <c r="L24" i="13" s="1"/>
  <c r="AA25" i="13"/>
  <c r="I25" i="13" s="1"/>
  <c r="K25" i="13" s="1"/>
  <c r="R25" i="13" s="1"/>
  <c r="AB25" i="13"/>
  <c r="J25" i="13" s="1"/>
  <c r="L25" i="13" s="1"/>
  <c r="S25" i="13" s="1"/>
  <c r="AA26" i="13"/>
  <c r="I26" i="13" s="1"/>
  <c r="K26" i="13" s="1"/>
  <c r="AB26" i="13"/>
  <c r="J26" i="13" s="1"/>
  <c r="L26" i="13" s="1"/>
  <c r="AA27" i="13"/>
  <c r="I27" i="13" s="1"/>
  <c r="K27" i="13" s="1"/>
  <c r="AB27" i="13"/>
  <c r="U3" i="13"/>
  <c r="U4" i="13"/>
  <c r="U5" i="13"/>
  <c r="U6" i="13"/>
  <c r="U7" i="13"/>
  <c r="U8" i="13"/>
  <c r="U9" i="13"/>
  <c r="U10" i="13"/>
  <c r="U11" i="13"/>
  <c r="U12" i="13"/>
  <c r="U13" i="13"/>
  <c r="U14" i="13"/>
  <c r="U15" i="13"/>
  <c r="U16" i="13"/>
  <c r="U17" i="13"/>
  <c r="U18" i="13"/>
  <c r="U19" i="13"/>
  <c r="U20" i="13"/>
  <c r="U21" i="13"/>
  <c r="U22" i="13"/>
  <c r="U23" i="13"/>
  <c r="U24" i="13"/>
  <c r="U25" i="13"/>
  <c r="U26" i="13"/>
  <c r="U27" i="13"/>
  <c r="T3" i="13"/>
  <c r="T4" i="13"/>
  <c r="T5" i="13"/>
  <c r="T6" i="13"/>
  <c r="T7" i="13"/>
  <c r="T8" i="13"/>
  <c r="T9" i="13"/>
  <c r="T10" i="13"/>
  <c r="T11" i="13"/>
  <c r="T12" i="13"/>
  <c r="T13" i="13"/>
  <c r="T14" i="13"/>
  <c r="T15" i="13"/>
  <c r="T16" i="13"/>
  <c r="T18" i="13"/>
  <c r="T19" i="13"/>
  <c r="T20" i="13"/>
  <c r="T21" i="13"/>
  <c r="T22" i="13"/>
  <c r="T23" i="13"/>
  <c r="T24" i="13"/>
  <c r="T25" i="13"/>
  <c r="T26" i="13"/>
  <c r="T27" i="13"/>
  <c r="I2" i="13"/>
  <c r="K2" i="13" s="1"/>
  <c r="J27" i="13"/>
  <c r="L27" i="13" s="1"/>
  <c r="J21" i="13"/>
  <c r="L21" i="13" s="1"/>
  <c r="I21" i="13"/>
  <c r="K21" i="13" s="1"/>
  <c r="J20" i="13"/>
  <c r="L20" i="13" s="1"/>
  <c r="J19" i="13"/>
  <c r="L19" i="13" s="1"/>
  <c r="S19" i="13" s="1"/>
  <c r="J13" i="13"/>
  <c r="L13" i="13" s="1"/>
  <c r="S13" i="13" s="1"/>
  <c r="I13" i="13"/>
  <c r="K13" i="13" s="1"/>
  <c r="J12" i="13"/>
  <c r="L12" i="13" s="1"/>
  <c r="S12" i="13" s="1"/>
  <c r="J11" i="13"/>
  <c r="L11" i="13" s="1"/>
  <c r="S11" i="13" s="1"/>
  <c r="I11" i="13"/>
  <c r="K11" i="13" s="1"/>
  <c r="J10" i="13"/>
  <c r="L10" i="13" s="1"/>
  <c r="S10" i="13" s="1"/>
  <c r="I10" i="13"/>
  <c r="K10" i="13" s="1"/>
  <c r="J5" i="13"/>
  <c r="L5" i="13" s="1"/>
  <c r="S5" i="13" s="1"/>
  <c r="I5" i="13"/>
  <c r="K5" i="13" s="1"/>
  <c r="J4" i="13"/>
  <c r="L4" i="13" s="1"/>
  <c r="S4" i="13" s="1"/>
  <c r="I4" i="13"/>
  <c r="K4" i="13" s="1"/>
  <c r="J3" i="13"/>
  <c r="L3" i="13" s="1"/>
  <c r="S3" i="13" s="1"/>
  <c r="I3" i="13"/>
  <c r="K3" i="13" s="1"/>
  <c r="S26" i="13" l="1"/>
  <c r="S27" i="13"/>
  <c r="S24" i="13"/>
  <c r="S23" i="13"/>
  <c r="S20" i="13"/>
  <c r="S21" i="13"/>
  <c r="R2" i="13"/>
  <c r="N2" i="13"/>
  <c r="M2" i="13"/>
  <c r="R3" i="13"/>
  <c r="N3" i="13"/>
  <c r="M3" i="13"/>
  <c r="N8" i="13"/>
  <c r="R18" i="13"/>
  <c r="N18" i="13"/>
  <c r="M18" i="13"/>
  <c r="N14" i="13"/>
  <c r="M14" i="13"/>
  <c r="R14" i="13"/>
  <c r="R9" i="13"/>
  <c r="N9" i="13"/>
  <c r="M9" i="13"/>
  <c r="R4" i="13"/>
  <c r="N4" i="13"/>
  <c r="M4" i="13"/>
  <c r="R12" i="13"/>
  <c r="N12" i="13"/>
  <c r="M12" i="13"/>
  <c r="M13" i="13"/>
  <c r="N13" i="13"/>
  <c r="R13" i="13"/>
  <c r="N19" i="13"/>
  <c r="R19" i="13"/>
  <c r="M19" i="13"/>
  <c r="M5" i="13"/>
  <c r="N5" i="13"/>
  <c r="R5" i="13"/>
  <c r="R10" i="13"/>
  <c r="N10" i="13"/>
  <c r="M10" i="13"/>
  <c r="R27" i="13"/>
  <c r="N27" i="13"/>
  <c r="M27" i="13"/>
  <c r="M26" i="13"/>
  <c r="R26" i="13"/>
  <c r="N26" i="13"/>
  <c r="R15" i="13"/>
  <c r="N15" i="13"/>
  <c r="M15" i="13"/>
  <c r="R23" i="13"/>
  <c r="M23" i="13"/>
  <c r="N23" i="13"/>
  <c r="M7" i="13"/>
  <c r="R7" i="13"/>
  <c r="N7" i="13"/>
  <c r="N6" i="13"/>
  <c r="M6" i="13"/>
  <c r="R6" i="13"/>
  <c r="N11" i="13"/>
  <c r="R11" i="13"/>
  <c r="M11" i="13"/>
  <c r="M20" i="13"/>
  <c r="N20" i="13"/>
  <c r="R20" i="13"/>
  <c r="R24" i="13"/>
  <c r="N24" i="13"/>
  <c r="M24" i="13"/>
  <c r="R16" i="13"/>
  <c r="M16" i="13"/>
  <c r="N16" i="13"/>
  <c r="N17" i="13"/>
  <c r="M17" i="13"/>
  <c r="R17" i="13"/>
  <c r="R21" i="13"/>
  <c r="N21" i="13"/>
  <c r="M21" i="13"/>
  <c r="R8" i="13"/>
  <c r="N22" i="13"/>
  <c r="N25" i="13"/>
  <c r="M22" i="13"/>
  <c r="M25" i="13"/>
  <c r="M8" i="13"/>
  <c r="E2" i="8"/>
  <c r="I3" i="8"/>
  <c r="V5" i="11"/>
  <c r="V4" i="11"/>
  <c r="U4" i="11"/>
  <c r="F35" i="10"/>
  <c r="F36" i="10" s="1"/>
  <c r="F37" i="10" s="1"/>
  <c r="F27" i="10"/>
  <c r="F28" i="10" s="1"/>
  <c r="F29" i="10" s="1"/>
  <c r="F30" i="10" s="1"/>
  <c r="F31" i="10" s="1"/>
  <c r="F32" i="10" s="1"/>
  <c r="F33" i="10" s="1"/>
  <c r="F20" i="10"/>
  <c r="F21" i="10" s="1"/>
  <c r="F22" i="10" s="1"/>
  <c r="F23" i="10" s="1"/>
  <c r="F24" i="10" s="1"/>
  <c r="F25" i="10" s="1"/>
  <c r="F19" i="10"/>
  <c r="F11" i="10"/>
  <c r="F12" i="10" s="1"/>
  <c r="F13" i="10" s="1"/>
  <c r="F14" i="10" s="1"/>
  <c r="F15" i="10" s="1"/>
  <c r="F16" i="10" s="1"/>
  <c r="F17" i="10" s="1"/>
  <c r="F3" i="10"/>
  <c r="F4" i="10" s="1"/>
  <c r="F5" i="10" s="1"/>
  <c r="F6" i="10" s="1"/>
  <c r="F7" i="10" s="1"/>
  <c r="F8" i="10" s="1"/>
  <c r="F9" i="10" s="1"/>
  <c r="F37" i="11"/>
  <c r="F35" i="11"/>
  <c r="F36" i="11" s="1"/>
  <c r="F27" i="11"/>
  <c r="F28" i="11" s="1"/>
  <c r="F29" i="11" s="1"/>
  <c r="F30" i="11" s="1"/>
  <c r="F31" i="11" s="1"/>
  <c r="F32" i="11" s="1"/>
  <c r="F33" i="11" s="1"/>
  <c r="F20" i="11"/>
  <c r="F21" i="11" s="1"/>
  <c r="F22" i="11" s="1"/>
  <c r="F23" i="11" s="1"/>
  <c r="F24" i="11" s="1"/>
  <c r="F25" i="11" s="1"/>
  <c r="F19" i="11"/>
  <c r="F11" i="11"/>
  <c r="F12" i="11" s="1"/>
  <c r="F13" i="11" s="1"/>
  <c r="F14" i="11" s="1"/>
  <c r="F15" i="11" s="1"/>
  <c r="F16" i="11" s="1"/>
  <c r="F17" i="11" s="1"/>
  <c r="F3" i="11"/>
  <c r="F4" i="11" s="1"/>
  <c r="F5" i="11" s="1"/>
  <c r="F6" i="11" s="1"/>
  <c r="F7" i="11" s="1"/>
  <c r="F8" i="11" s="1"/>
  <c r="F9" i="11" s="1"/>
  <c r="F35" i="12"/>
  <c r="F36" i="12" s="1"/>
  <c r="F37" i="12" s="1"/>
  <c r="F27" i="12"/>
  <c r="F28" i="12" s="1"/>
  <c r="F29" i="12" s="1"/>
  <c r="F30" i="12" s="1"/>
  <c r="F31" i="12" s="1"/>
  <c r="F32" i="12" s="1"/>
  <c r="F33" i="12" s="1"/>
  <c r="F19" i="12"/>
  <c r="F20" i="12" s="1"/>
  <c r="F21" i="12" s="1"/>
  <c r="F22" i="12" s="1"/>
  <c r="F23" i="12" s="1"/>
  <c r="F24" i="12" s="1"/>
  <c r="F25" i="12" s="1"/>
  <c r="F12" i="12"/>
  <c r="F13" i="12" s="1"/>
  <c r="F14" i="12" s="1"/>
  <c r="F15" i="12" s="1"/>
  <c r="F16" i="12" s="1"/>
  <c r="F17" i="12" s="1"/>
  <c r="F11" i="12"/>
  <c r="F9" i="12"/>
  <c r="F8" i="12"/>
  <c r="F7" i="12"/>
  <c r="F6" i="12"/>
  <c r="F5" i="12"/>
  <c r="F4" i="12"/>
  <c r="F3" i="12"/>
  <c r="H5" i="11" l="1"/>
  <c r="H6" i="11"/>
  <c r="H7" i="11"/>
  <c r="H8" i="11"/>
  <c r="H9" i="11"/>
  <c r="H10" i="11"/>
  <c r="H11" i="11"/>
  <c r="H12" i="11"/>
  <c r="H13" i="11"/>
  <c r="H14" i="11"/>
  <c r="H15" i="11"/>
  <c r="H16" i="11"/>
  <c r="E16" i="11" s="1"/>
  <c r="H17" i="11"/>
  <c r="H18" i="11"/>
  <c r="E18" i="11" s="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2" i="11"/>
  <c r="E2" i="11" s="1"/>
  <c r="H3" i="11"/>
  <c r="H4" i="11"/>
  <c r="I4" i="11" s="1"/>
  <c r="H3" i="12"/>
  <c r="G3" i="12" s="1"/>
  <c r="H4" i="12"/>
  <c r="G4" i="12" s="1"/>
  <c r="H5" i="12"/>
  <c r="G5" i="12" s="1"/>
  <c r="H6" i="12"/>
  <c r="G6" i="12" s="1"/>
  <c r="H7" i="12"/>
  <c r="G7" i="12" s="1"/>
  <c r="H8" i="12"/>
  <c r="G8" i="12" s="1"/>
  <c r="H9" i="12"/>
  <c r="G9" i="12" s="1"/>
  <c r="H10" i="12"/>
  <c r="Q10" i="12" s="1"/>
  <c r="H11" i="12"/>
  <c r="G11" i="12" s="1"/>
  <c r="H12" i="12"/>
  <c r="G12" i="12" s="1"/>
  <c r="H13" i="12"/>
  <c r="G13" i="12" s="1"/>
  <c r="H14" i="12"/>
  <c r="G14" i="12" s="1"/>
  <c r="H15" i="12"/>
  <c r="J15" i="12" s="1"/>
  <c r="H16" i="12"/>
  <c r="R16" i="12" s="1"/>
  <c r="H17" i="12"/>
  <c r="G17" i="12" s="1"/>
  <c r="H18" i="12"/>
  <c r="J18" i="12" s="1"/>
  <c r="H19" i="12"/>
  <c r="G19" i="12" s="1"/>
  <c r="H20" i="12"/>
  <c r="G20" i="12" s="1"/>
  <c r="H21" i="12"/>
  <c r="G21" i="12" s="1"/>
  <c r="H22" i="12"/>
  <c r="G22" i="12" s="1"/>
  <c r="H23" i="12"/>
  <c r="G23" i="12" s="1"/>
  <c r="H24" i="12"/>
  <c r="G24" i="12" s="1"/>
  <c r="H25" i="12"/>
  <c r="G25" i="12" s="1"/>
  <c r="H26" i="12"/>
  <c r="G26" i="12" s="1"/>
  <c r="H27" i="12"/>
  <c r="G27" i="12" s="1"/>
  <c r="H28" i="12"/>
  <c r="G28" i="12" s="1"/>
  <c r="H29" i="12"/>
  <c r="G29" i="12" s="1"/>
  <c r="H30" i="12"/>
  <c r="G30" i="12" s="1"/>
  <c r="H31" i="12"/>
  <c r="G31" i="12" s="1"/>
  <c r="H32" i="12"/>
  <c r="G32" i="12" s="1"/>
  <c r="H33" i="12"/>
  <c r="G33" i="12" s="1"/>
  <c r="H34" i="12"/>
  <c r="G34" i="12" s="1"/>
  <c r="H35" i="12"/>
  <c r="G35" i="12" s="1"/>
  <c r="H36" i="12"/>
  <c r="G36" i="12" s="1"/>
  <c r="H37" i="12"/>
  <c r="G37" i="12" s="1"/>
  <c r="H2" i="12"/>
  <c r="G35" i="11"/>
  <c r="G36" i="11" s="1"/>
  <c r="G33" i="11"/>
  <c r="G32" i="11"/>
  <c r="G31" i="11"/>
  <c r="G23" i="11"/>
  <c r="E23" i="11" s="1"/>
  <c r="G20" i="11"/>
  <c r="G21" i="11" s="1"/>
  <c r="G19" i="11"/>
  <c r="G7" i="11"/>
  <c r="R37" i="12"/>
  <c r="Q37" i="12"/>
  <c r="J37" i="12"/>
  <c r="I37" i="12"/>
  <c r="M37" i="12" s="1"/>
  <c r="R36" i="12"/>
  <c r="Q36" i="12"/>
  <c r="J36" i="12"/>
  <c r="I36" i="12"/>
  <c r="R35" i="12"/>
  <c r="Q35" i="12"/>
  <c r="J35" i="12"/>
  <c r="I35" i="12"/>
  <c r="R34" i="12"/>
  <c r="Q34" i="12"/>
  <c r="J34" i="12"/>
  <c r="M34" i="12" s="1"/>
  <c r="I34" i="12"/>
  <c r="R33" i="12"/>
  <c r="Q33" i="12"/>
  <c r="J33" i="12"/>
  <c r="I33" i="12"/>
  <c r="R32" i="12"/>
  <c r="Q32" i="12"/>
  <c r="J32" i="12"/>
  <c r="I32" i="12"/>
  <c r="R31" i="12"/>
  <c r="Q31" i="12"/>
  <c r="L31" i="12"/>
  <c r="J31" i="12"/>
  <c r="I31" i="12"/>
  <c r="M31" i="12" s="1"/>
  <c r="R30" i="12"/>
  <c r="Q30" i="12"/>
  <c r="J30" i="12"/>
  <c r="I30" i="12"/>
  <c r="R29" i="12"/>
  <c r="Q29" i="12"/>
  <c r="J29" i="12"/>
  <c r="I29" i="12"/>
  <c r="R28" i="12"/>
  <c r="Q28" i="12"/>
  <c r="J28" i="12"/>
  <c r="I28" i="12"/>
  <c r="L28" i="12" s="1"/>
  <c r="S28" i="12"/>
  <c r="R27" i="12"/>
  <c r="Q27" i="12"/>
  <c r="K27" i="12"/>
  <c r="J27" i="12"/>
  <c r="I27" i="12"/>
  <c r="M27" i="12" s="1"/>
  <c r="R26" i="12"/>
  <c r="Q26" i="12"/>
  <c r="J26" i="12"/>
  <c r="L26" i="12" s="1"/>
  <c r="I26" i="12"/>
  <c r="S25" i="12"/>
  <c r="Q25" i="12"/>
  <c r="K25" i="12"/>
  <c r="I25" i="12"/>
  <c r="S24" i="12"/>
  <c r="Q24" i="12"/>
  <c r="K24" i="12"/>
  <c r="I24" i="12"/>
  <c r="S23" i="12"/>
  <c r="Q23" i="12"/>
  <c r="K23" i="12"/>
  <c r="I23" i="12"/>
  <c r="S22" i="12"/>
  <c r="Q22" i="12"/>
  <c r="K22" i="12"/>
  <c r="I22" i="12"/>
  <c r="R22" i="12"/>
  <c r="S21" i="12"/>
  <c r="Q21" i="12"/>
  <c r="K21" i="12"/>
  <c r="I21" i="12"/>
  <c r="S20" i="12"/>
  <c r="Q20" i="12"/>
  <c r="K20" i="12"/>
  <c r="I20" i="12"/>
  <c r="S19" i="12"/>
  <c r="Q19" i="12"/>
  <c r="K19" i="12"/>
  <c r="I19" i="12"/>
  <c r="S18" i="12"/>
  <c r="Q18" i="12"/>
  <c r="K18" i="12"/>
  <c r="I18" i="12"/>
  <c r="S17" i="12"/>
  <c r="Q17" i="12"/>
  <c r="K17" i="12"/>
  <c r="I17" i="12"/>
  <c r="S16" i="12"/>
  <c r="Q16" i="12"/>
  <c r="K16" i="12"/>
  <c r="I16" i="12"/>
  <c r="S15" i="12"/>
  <c r="Q15" i="12"/>
  <c r="K15" i="12"/>
  <c r="I15" i="12"/>
  <c r="S14" i="12"/>
  <c r="Q14" i="12"/>
  <c r="K14" i="12"/>
  <c r="I14" i="12"/>
  <c r="S13" i="12"/>
  <c r="R13" i="12"/>
  <c r="K13" i="12"/>
  <c r="J13" i="12"/>
  <c r="S12" i="12"/>
  <c r="R12" i="12"/>
  <c r="K12" i="12"/>
  <c r="J12" i="12"/>
  <c r="S11" i="12"/>
  <c r="R11" i="12"/>
  <c r="K11" i="12"/>
  <c r="J11" i="12"/>
  <c r="S10" i="12"/>
  <c r="R10" i="12"/>
  <c r="K10" i="12"/>
  <c r="J10" i="12"/>
  <c r="S9" i="12"/>
  <c r="R9" i="12"/>
  <c r="K9" i="12"/>
  <c r="J9" i="12"/>
  <c r="S8" i="12"/>
  <c r="R8" i="12"/>
  <c r="K8" i="12"/>
  <c r="J8" i="12"/>
  <c r="S7" i="12"/>
  <c r="R7" i="12"/>
  <c r="K7" i="12"/>
  <c r="J7" i="12"/>
  <c r="S6" i="12"/>
  <c r="R6" i="12"/>
  <c r="K6" i="12"/>
  <c r="J6" i="12"/>
  <c r="S5" i="12"/>
  <c r="R5" i="12"/>
  <c r="K5" i="12"/>
  <c r="J5" i="12"/>
  <c r="S4" i="12"/>
  <c r="R4" i="12"/>
  <c r="K4" i="12"/>
  <c r="J4" i="12"/>
  <c r="S3" i="12"/>
  <c r="R3" i="12"/>
  <c r="K3" i="12"/>
  <c r="J3" i="12"/>
  <c r="S2" i="12"/>
  <c r="R2" i="12"/>
  <c r="K2" i="12"/>
  <c r="J2" i="12"/>
  <c r="R37" i="11"/>
  <c r="Q37" i="11"/>
  <c r="J37" i="11"/>
  <c r="I37" i="11"/>
  <c r="M37" i="11" s="1"/>
  <c r="R36" i="11"/>
  <c r="Q36" i="11"/>
  <c r="J36" i="11"/>
  <c r="I36" i="11"/>
  <c r="M36" i="11" s="1"/>
  <c r="R35" i="11"/>
  <c r="Q35" i="11"/>
  <c r="J35" i="11"/>
  <c r="I35" i="11"/>
  <c r="M35" i="11" s="1"/>
  <c r="R34" i="11"/>
  <c r="Q34" i="11"/>
  <c r="J34" i="11"/>
  <c r="I34" i="11"/>
  <c r="R33" i="11"/>
  <c r="Q33" i="11"/>
  <c r="J33" i="11"/>
  <c r="I33" i="11"/>
  <c r="R32" i="11"/>
  <c r="Q32" i="11"/>
  <c r="J32" i="11"/>
  <c r="I32" i="11"/>
  <c r="M32" i="11" s="1"/>
  <c r="R31" i="11"/>
  <c r="Q31" i="11"/>
  <c r="J31" i="11"/>
  <c r="I31" i="11"/>
  <c r="R30" i="11"/>
  <c r="Q30" i="11"/>
  <c r="J30" i="11"/>
  <c r="I30" i="11"/>
  <c r="M30" i="11" s="1"/>
  <c r="K30" i="11"/>
  <c r="R29" i="11"/>
  <c r="Q29" i="11"/>
  <c r="J29" i="11"/>
  <c r="I29" i="11"/>
  <c r="M29" i="11" s="1"/>
  <c r="R28" i="11"/>
  <c r="Q28" i="11"/>
  <c r="J28" i="11"/>
  <c r="I28" i="11"/>
  <c r="K28" i="11"/>
  <c r="R27" i="11"/>
  <c r="Q27" i="11"/>
  <c r="J27" i="11"/>
  <c r="I27" i="11"/>
  <c r="M27" i="11" s="1"/>
  <c r="E27" i="11"/>
  <c r="R26" i="11"/>
  <c r="Q26" i="11"/>
  <c r="K26" i="11"/>
  <c r="J26" i="11"/>
  <c r="I26" i="11"/>
  <c r="M26" i="11" s="1"/>
  <c r="E26" i="11"/>
  <c r="S26" i="11" s="1"/>
  <c r="S25" i="11"/>
  <c r="Q25" i="11"/>
  <c r="K25" i="11"/>
  <c r="I25" i="11"/>
  <c r="S24" i="11"/>
  <c r="Q24" i="11"/>
  <c r="K24" i="11"/>
  <c r="I24" i="11"/>
  <c r="S23" i="11"/>
  <c r="Q23" i="11"/>
  <c r="K23" i="11"/>
  <c r="I23" i="11"/>
  <c r="S22" i="11"/>
  <c r="Q22" i="11"/>
  <c r="K22" i="11"/>
  <c r="I22" i="11"/>
  <c r="J22" i="11"/>
  <c r="S21" i="11"/>
  <c r="Q21" i="11"/>
  <c r="K21" i="11"/>
  <c r="I21" i="11"/>
  <c r="S20" i="11"/>
  <c r="Q20" i="11"/>
  <c r="K20" i="11"/>
  <c r="I20" i="11"/>
  <c r="S19" i="11"/>
  <c r="Q19" i="11"/>
  <c r="K19" i="11"/>
  <c r="I19" i="11"/>
  <c r="S18" i="11"/>
  <c r="Q18" i="11"/>
  <c r="K18" i="11"/>
  <c r="I18" i="11"/>
  <c r="S17" i="11"/>
  <c r="Q17" i="11"/>
  <c r="K17" i="11"/>
  <c r="I17" i="11"/>
  <c r="S16" i="11"/>
  <c r="Q16" i="11"/>
  <c r="K16" i="11"/>
  <c r="I16" i="11"/>
  <c r="S15" i="11"/>
  <c r="Q15" i="11"/>
  <c r="K15" i="11"/>
  <c r="I15" i="11"/>
  <c r="E15" i="11"/>
  <c r="S14" i="11"/>
  <c r="Q14" i="11"/>
  <c r="K14" i="11"/>
  <c r="J14" i="11"/>
  <c r="I14" i="11"/>
  <c r="E14" i="11"/>
  <c r="R14" i="11" s="1"/>
  <c r="S13" i="11"/>
  <c r="R13" i="11"/>
  <c r="K13" i="11"/>
  <c r="J13" i="11"/>
  <c r="S12" i="11"/>
  <c r="R12" i="11"/>
  <c r="K12" i="11"/>
  <c r="J12" i="11"/>
  <c r="S11" i="11"/>
  <c r="R11" i="11"/>
  <c r="K11" i="11"/>
  <c r="J11" i="11"/>
  <c r="G11" i="11"/>
  <c r="G12" i="11" s="1"/>
  <c r="S10" i="11"/>
  <c r="R10" i="11"/>
  <c r="K10" i="11"/>
  <c r="J10" i="11"/>
  <c r="E10" i="11"/>
  <c r="S9" i="11"/>
  <c r="R9" i="11"/>
  <c r="K9" i="11"/>
  <c r="J9" i="11"/>
  <c r="S8" i="11"/>
  <c r="R8" i="11"/>
  <c r="K8" i="11"/>
  <c r="J8" i="11"/>
  <c r="S7" i="11"/>
  <c r="R7" i="11"/>
  <c r="K7" i="11"/>
  <c r="J7" i="11"/>
  <c r="S6" i="11"/>
  <c r="R6" i="11"/>
  <c r="K6" i="11"/>
  <c r="J6" i="11"/>
  <c r="E6" i="11"/>
  <c r="S5" i="11"/>
  <c r="R5" i="11"/>
  <c r="K5" i="11"/>
  <c r="J5" i="11"/>
  <c r="I5" i="11"/>
  <c r="S4" i="11"/>
  <c r="R4" i="11"/>
  <c r="K4" i="11"/>
  <c r="J4" i="11"/>
  <c r="S3" i="11"/>
  <c r="R3" i="11"/>
  <c r="K3" i="11"/>
  <c r="J3" i="11"/>
  <c r="S2" i="11"/>
  <c r="R2" i="11"/>
  <c r="K2" i="11"/>
  <c r="J2" i="11"/>
  <c r="J4" i="6"/>
  <c r="K4" i="6"/>
  <c r="J5" i="6"/>
  <c r="K5" i="6"/>
  <c r="J6" i="6"/>
  <c r="K6" i="6"/>
  <c r="J7" i="6"/>
  <c r="K7" i="6"/>
  <c r="J8" i="6"/>
  <c r="K8" i="6"/>
  <c r="J9" i="6"/>
  <c r="K9" i="6"/>
  <c r="J10" i="6"/>
  <c r="K10" i="6"/>
  <c r="J11" i="6"/>
  <c r="K11" i="6"/>
  <c r="J12" i="6"/>
  <c r="K12" i="6"/>
  <c r="J13" i="6"/>
  <c r="K13" i="6"/>
  <c r="J14" i="6"/>
  <c r="K14" i="6"/>
  <c r="J15" i="6"/>
  <c r="K15" i="6"/>
  <c r="J16" i="6"/>
  <c r="K16" i="6"/>
  <c r="J17" i="6"/>
  <c r="K17" i="6"/>
  <c r="J18" i="6"/>
  <c r="K18" i="6"/>
  <c r="J19" i="6"/>
  <c r="K19" i="6"/>
  <c r="J20" i="6"/>
  <c r="K20" i="6"/>
  <c r="J21" i="6"/>
  <c r="K21" i="6"/>
  <c r="J22" i="6"/>
  <c r="K22" i="6"/>
  <c r="J23" i="6"/>
  <c r="K23" i="6"/>
  <c r="J24" i="6"/>
  <c r="K24" i="6"/>
  <c r="J25" i="6"/>
  <c r="K25" i="6"/>
  <c r="J26" i="6"/>
  <c r="K26" i="6"/>
  <c r="J27" i="6"/>
  <c r="K27" i="6"/>
  <c r="J28" i="6"/>
  <c r="K28" i="6"/>
  <c r="J29" i="6"/>
  <c r="K29" i="6"/>
  <c r="J30" i="6"/>
  <c r="K30" i="6"/>
  <c r="J31" i="6"/>
  <c r="K31" i="6"/>
  <c r="J32" i="6"/>
  <c r="K32" i="6"/>
  <c r="J33" i="6"/>
  <c r="K33" i="6"/>
  <c r="J34" i="6"/>
  <c r="K34" i="6"/>
  <c r="J35" i="6"/>
  <c r="K35" i="6"/>
  <c r="J36" i="6"/>
  <c r="K36" i="6"/>
  <c r="J37" i="6"/>
  <c r="K37" i="6"/>
  <c r="J38" i="6"/>
  <c r="K38" i="6"/>
  <c r="J39" i="6"/>
  <c r="K39" i="6"/>
  <c r="J40" i="6"/>
  <c r="K40" i="6"/>
  <c r="J41" i="6"/>
  <c r="K41" i="6"/>
  <c r="J42" i="6"/>
  <c r="K42" i="6"/>
  <c r="J43" i="6"/>
  <c r="K43" i="6"/>
  <c r="J44" i="6"/>
  <c r="K44" i="6"/>
  <c r="J45" i="6"/>
  <c r="K45" i="6"/>
  <c r="J46" i="6"/>
  <c r="K46" i="6"/>
  <c r="J47" i="6"/>
  <c r="K47" i="6"/>
  <c r="J48" i="6"/>
  <c r="K48" i="6"/>
  <c r="J49" i="6"/>
  <c r="K49" i="6"/>
  <c r="J50" i="6"/>
  <c r="K50" i="6"/>
  <c r="J51" i="6"/>
  <c r="K51" i="6"/>
  <c r="J52" i="6"/>
  <c r="K52" i="6"/>
  <c r="J53" i="6"/>
  <c r="K53" i="6"/>
  <c r="J54" i="6"/>
  <c r="K54" i="6"/>
  <c r="J55" i="6"/>
  <c r="K55" i="6"/>
  <c r="J56" i="6"/>
  <c r="K56" i="6"/>
  <c r="J57" i="6"/>
  <c r="K57" i="6"/>
  <c r="J58" i="6"/>
  <c r="K58" i="6"/>
  <c r="J59" i="6"/>
  <c r="K59" i="6"/>
  <c r="J60" i="6"/>
  <c r="K60" i="6"/>
  <c r="J61" i="6"/>
  <c r="K61" i="6"/>
  <c r="L61" i="6" s="1"/>
  <c r="J62" i="6"/>
  <c r="K62" i="6"/>
  <c r="J63" i="6"/>
  <c r="K63" i="6"/>
  <c r="J64" i="6"/>
  <c r="K64" i="6"/>
  <c r="J65" i="6"/>
  <c r="K65" i="6"/>
  <c r="J2" i="6"/>
  <c r="K2" i="6"/>
  <c r="K3" i="6"/>
  <c r="J3" i="6"/>
  <c r="W61" i="6"/>
  <c r="V61" i="6"/>
  <c r="M61" i="6"/>
  <c r="C61" i="6"/>
  <c r="W60" i="6"/>
  <c r="L60" i="6" s="1"/>
  <c r="V60" i="6"/>
  <c r="C60" i="6"/>
  <c r="W59" i="6"/>
  <c r="V59" i="6"/>
  <c r="C59" i="6"/>
  <c r="W58" i="6"/>
  <c r="L58" i="6" s="1"/>
  <c r="V58" i="6"/>
  <c r="M58" i="6" s="1"/>
  <c r="W49" i="6"/>
  <c r="L49" i="6" s="1"/>
  <c r="V49" i="6"/>
  <c r="M49" i="6" s="1"/>
  <c r="G49" i="6"/>
  <c r="W48" i="6"/>
  <c r="L48" i="6" s="1"/>
  <c r="V48" i="6"/>
  <c r="M48" i="6" s="1"/>
  <c r="G48" i="6"/>
  <c r="W47" i="6"/>
  <c r="L47" i="6" s="1"/>
  <c r="V47" i="6"/>
  <c r="M47" i="6" s="1"/>
  <c r="W46" i="6"/>
  <c r="L46" i="6" s="1"/>
  <c r="V46" i="6"/>
  <c r="M46" i="6" s="1"/>
  <c r="W29" i="6"/>
  <c r="M29" i="6" s="1"/>
  <c r="V29" i="6"/>
  <c r="L29" i="6" s="1"/>
  <c r="C29" i="6"/>
  <c r="W28" i="6"/>
  <c r="M28" i="6" s="1"/>
  <c r="V28" i="6"/>
  <c r="L28" i="6" s="1"/>
  <c r="C28" i="6"/>
  <c r="W27" i="6"/>
  <c r="V27" i="6"/>
  <c r="L27" i="6" s="1"/>
  <c r="C27" i="6"/>
  <c r="W26" i="6"/>
  <c r="M26" i="6" s="1"/>
  <c r="V26" i="6"/>
  <c r="L26" i="6" s="1"/>
  <c r="W17" i="6"/>
  <c r="M17" i="6" s="1"/>
  <c r="V17" i="6"/>
  <c r="L17" i="6" s="1"/>
  <c r="G17" i="6"/>
  <c r="W16" i="6"/>
  <c r="M16" i="6" s="1"/>
  <c r="V16" i="6"/>
  <c r="L16" i="6" s="1"/>
  <c r="G16" i="6"/>
  <c r="W15" i="6"/>
  <c r="M15" i="6" s="1"/>
  <c r="V15" i="6"/>
  <c r="L15" i="6" s="1"/>
  <c r="W14" i="6"/>
  <c r="M14" i="6" s="1"/>
  <c r="V14" i="6"/>
  <c r="L14" i="6" s="1"/>
  <c r="W73" i="1"/>
  <c r="V73" i="1"/>
  <c r="J73" i="1"/>
  <c r="K73" i="1" s="1"/>
  <c r="I73" i="1"/>
  <c r="L73" i="1" s="1"/>
  <c r="S73" i="1" s="1"/>
  <c r="C73" i="1"/>
  <c r="W72" i="1"/>
  <c r="J72" i="1" s="1"/>
  <c r="K72" i="1" s="1"/>
  <c r="V72" i="1"/>
  <c r="I72" i="1" s="1"/>
  <c r="L72" i="1" s="1"/>
  <c r="S72" i="1" s="1"/>
  <c r="C72" i="1"/>
  <c r="W71" i="1"/>
  <c r="V71" i="1"/>
  <c r="J71" i="1"/>
  <c r="K71" i="1" s="1"/>
  <c r="I71" i="1"/>
  <c r="L71" i="1" s="1"/>
  <c r="S71" i="1" s="1"/>
  <c r="C71" i="1"/>
  <c r="W70" i="1"/>
  <c r="V70" i="1"/>
  <c r="I70" i="1" s="1"/>
  <c r="L70" i="1" s="1"/>
  <c r="S70" i="1" s="1"/>
  <c r="J70" i="1"/>
  <c r="K70" i="1" s="1"/>
  <c r="W61" i="1"/>
  <c r="J61" i="1" s="1"/>
  <c r="K61" i="1" s="1"/>
  <c r="V61" i="1"/>
  <c r="I61" i="1" s="1"/>
  <c r="L61" i="1" s="1"/>
  <c r="S61" i="1" s="1"/>
  <c r="C61" i="1"/>
  <c r="W60" i="1"/>
  <c r="J60" i="1" s="1"/>
  <c r="K60" i="1" s="1"/>
  <c r="V60" i="1"/>
  <c r="I60" i="1"/>
  <c r="L60" i="1" s="1"/>
  <c r="S60" i="1" s="1"/>
  <c r="C60" i="1"/>
  <c r="W59" i="1"/>
  <c r="J59" i="1" s="1"/>
  <c r="K59" i="1" s="1"/>
  <c r="V59" i="1"/>
  <c r="I59" i="1"/>
  <c r="L59" i="1" s="1"/>
  <c r="S59" i="1" s="1"/>
  <c r="C59" i="1"/>
  <c r="W52" i="1"/>
  <c r="J52" i="1" s="1"/>
  <c r="K52" i="1" s="1"/>
  <c r="V52" i="1"/>
  <c r="I52" i="1" s="1"/>
  <c r="L52" i="1" s="1"/>
  <c r="S52" i="1" s="1"/>
  <c r="W51" i="1"/>
  <c r="J51" i="1" s="1"/>
  <c r="K51" i="1" s="1"/>
  <c r="V51" i="1"/>
  <c r="I51" i="1" s="1"/>
  <c r="L51" i="1" s="1"/>
  <c r="S51" i="1" s="1"/>
  <c r="W50" i="1"/>
  <c r="V50" i="1"/>
  <c r="I50" i="1" s="1"/>
  <c r="L50" i="1" s="1"/>
  <c r="S50" i="1" s="1"/>
  <c r="J50" i="1"/>
  <c r="K50" i="1" s="1"/>
  <c r="W49" i="1"/>
  <c r="J49" i="1" s="1"/>
  <c r="K49" i="1" s="1"/>
  <c r="V49" i="1"/>
  <c r="I49" i="1" s="1"/>
  <c r="L49" i="1" s="1"/>
  <c r="S49" i="1" s="1"/>
  <c r="W14" i="1"/>
  <c r="J14" i="1" s="1"/>
  <c r="L14" i="1" s="1"/>
  <c r="S14" i="1" s="1"/>
  <c r="V14" i="1"/>
  <c r="I14" i="1"/>
  <c r="K14" i="1" s="1"/>
  <c r="W13" i="1"/>
  <c r="J13" i="1" s="1"/>
  <c r="L13" i="1" s="1"/>
  <c r="S13" i="1" s="1"/>
  <c r="V13" i="1"/>
  <c r="I13" i="1" s="1"/>
  <c r="K13" i="1" s="1"/>
  <c r="W12" i="1"/>
  <c r="J12" i="1" s="1"/>
  <c r="L12" i="1" s="1"/>
  <c r="S12" i="1" s="1"/>
  <c r="V12" i="1"/>
  <c r="I12" i="1" s="1"/>
  <c r="K12" i="1" s="1"/>
  <c r="R12" i="1" s="1"/>
  <c r="W11" i="1"/>
  <c r="J11" i="1" s="1"/>
  <c r="L11" i="1" s="1"/>
  <c r="S11" i="1" s="1"/>
  <c r="V11" i="1"/>
  <c r="I11" i="1" s="1"/>
  <c r="K11" i="1" s="1"/>
  <c r="W23" i="1"/>
  <c r="J23" i="1" s="1"/>
  <c r="L23" i="1" s="1"/>
  <c r="S23" i="1" s="1"/>
  <c r="V23" i="1"/>
  <c r="I23" i="1" s="1"/>
  <c r="K23" i="1" s="1"/>
  <c r="C23" i="1"/>
  <c r="W22" i="1"/>
  <c r="J22" i="1" s="1"/>
  <c r="L22" i="1" s="1"/>
  <c r="V22" i="1"/>
  <c r="I22" i="1" s="1"/>
  <c r="K22" i="1" s="1"/>
  <c r="R22" i="1" s="1"/>
  <c r="C22" i="1"/>
  <c r="W21" i="1"/>
  <c r="J21" i="1" s="1"/>
  <c r="L21" i="1" s="1"/>
  <c r="S21" i="1" s="1"/>
  <c r="V21" i="1"/>
  <c r="I21" i="1" s="1"/>
  <c r="K21" i="1" s="1"/>
  <c r="C21" i="1"/>
  <c r="W35" i="1"/>
  <c r="J35" i="1" s="1"/>
  <c r="L35" i="1" s="1"/>
  <c r="S35" i="1" s="1"/>
  <c r="V35" i="1"/>
  <c r="I35" i="1" s="1"/>
  <c r="K35" i="1" s="1"/>
  <c r="C35" i="1"/>
  <c r="W34" i="1"/>
  <c r="J34" i="1" s="1"/>
  <c r="L34" i="1" s="1"/>
  <c r="S34" i="1" s="1"/>
  <c r="V34" i="1"/>
  <c r="I34" i="1" s="1"/>
  <c r="K34" i="1" s="1"/>
  <c r="C34" i="1"/>
  <c r="W33" i="1"/>
  <c r="J33" i="1" s="1"/>
  <c r="L33" i="1" s="1"/>
  <c r="S33" i="1" s="1"/>
  <c r="V33" i="1"/>
  <c r="I33" i="1" s="1"/>
  <c r="K33" i="1" s="1"/>
  <c r="C33" i="1"/>
  <c r="W32" i="1"/>
  <c r="J32" i="1" s="1"/>
  <c r="L32" i="1" s="1"/>
  <c r="S32" i="1" s="1"/>
  <c r="V32" i="1"/>
  <c r="I32" i="1" s="1"/>
  <c r="K32" i="1" s="1"/>
  <c r="V3" i="6"/>
  <c r="W3" i="6"/>
  <c r="V4" i="6"/>
  <c r="W4" i="6"/>
  <c r="V5" i="6"/>
  <c r="W5" i="6"/>
  <c r="V6" i="6"/>
  <c r="W6" i="6"/>
  <c r="V7" i="6"/>
  <c r="W7" i="6"/>
  <c r="V8" i="6"/>
  <c r="W8" i="6"/>
  <c r="V9" i="6"/>
  <c r="W9" i="6"/>
  <c r="V10" i="6"/>
  <c r="W10" i="6"/>
  <c r="V11" i="6"/>
  <c r="W11" i="6"/>
  <c r="V12" i="6"/>
  <c r="W12" i="6"/>
  <c r="V13" i="6"/>
  <c r="W13" i="6"/>
  <c r="V18" i="6"/>
  <c r="W18" i="6"/>
  <c r="V19" i="6"/>
  <c r="W19" i="6"/>
  <c r="V20" i="6"/>
  <c r="W20" i="6"/>
  <c r="V21" i="6"/>
  <c r="W21" i="6"/>
  <c r="V22" i="6"/>
  <c r="W22" i="6"/>
  <c r="V23" i="6"/>
  <c r="W23" i="6"/>
  <c r="V24" i="6"/>
  <c r="W24" i="6"/>
  <c r="V25" i="6"/>
  <c r="W25" i="6"/>
  <c r="V30" i="6"/>
  <c r="W30" i="6"/>
  <c r="V31" i="6"/>
  <c r="W31" i="6"/>
  <c r="V32" i="6"/>
  <c r="W32" i="6"/>
  <c r="V33" i="6"/>
  <c r="W33" i="6"/>
  <c r="V34" i="6"/>
  <c r="W34" i="6"/>
  <c r="V35" i="6"/>
  <c r="W35" i="6"/>
  <c r="V36" i="6"/>
  <c r="W36" i="6"/>
  <c r="V37" i="6"/>
  <c r="W37" i="6"/>
  <c r="V38" i="6"/>
  <c r="W38" i="6"/>
  <c r="V39" i="6"/>
  <c r="W39" i="6"/>
  <c r="V40" i="6"/>
  <c r="W40" i="6"/>
  <c r="V41" i="6"/>
  <c r="W41" i="6"/>
  <c r="V42" i="6"/>
  <c r="W42" i="6"/>
  <c r="V43" i="6"/>
  <c r="W43" i="6"/>
  <c r="V44" i="6"/>
  <c r="W44" i="6"/>
  <c r="V45" i="6"/>
  <c r="W45" i="6"/>
  <c r="V50" i="6"/>
  <c r="W50" i="6"/>
  <c r="V51" i="6"/>
  <c r="W51" i="6"/>
  <c r="V52" i="6"/>
  <c r="W52" i="6"/>
  <c r="V53" i="6"/>
  <c r="W53" i="6"/>
  <c r="V54" i="6"/>
  <c r="W54" i="6"/>
  <c r="V55" i="6"/>
  <c r="W55" i="6"/>
  <c r="V56" i="6"/>
  <c r="W56" i="6"/>
  <c r="V57" i="6"/>
  <c r="W57" i="6"/>
  <c r="V62" i="6"/>
  <c r="W62" i="6"/>
  <c r="V63" i="6"/>
  <c r="W63" i="6"/>
  <c r="V64" i="6"/>
  <c r="W64" i="6"/>
  <c r="V65" i="6"/>
  <c r="W65" i="6"/>
  <c r="W2" i="6"/>
  <c r="V2" i="6"/>
  <c r="V39" i="1"/>
  <c r="I39" i="1" s="1"/>
  <c r="W39" i="1"/>
  <c r="J39" i="1" s="1"/>
  <c r="V40" i="1"/>
  <c r="I40" i="1" s="1"/>
  <c r="W40" i="1"/>
  <c r="J40" i="1" s="1"/>
  <c r="V41" i="1"/>
  <c r="I41" i="1" s="1"/>
  <c r="W41" i="1"/>
  <c r="J41" i="1" s="1"/>
  <c r="V42" i="1"/>
  <c r="I42" i="1" s="1"/>
  <c r="W42" i="1"/>
  <c r="J42" i="1" s="1"/>
  <c r="V43" i="1"/>
  <c r="I43" i="1" s="1"/>
  <c r="W43" i="1"/>
  <c r="J43" i="1" s="1"/>
  <c r="V44" i="1"/>
  <c r="I44" i="1" s="1"/>
  <c r="W44" i="1"/>
  <c r="J44" i="1" s="1"/>
  <c r="V45" i="1"/>
  <c r="I45" i="1" s="1"/>
  <c r="W45" i="1"/>
  <c r="J45" i="1" s="1"/>
  <c r="V46" i="1"/>
  <c r="I46" i="1" s="1"/>
  <c r="W46" i="1"/>
  <c r="J46" i="1" s="1"/>
  <c r="V47" i="1"/>
  <c r="I47" i="1" s="1"/>
  <c r="W47" i="1"/>
  <c r="J47" i="1" s="1"/>
  <c r="V48" i="1"/>
  <c r="I48" i="1" s="1"/>
  <c r="W48" i="1"/>
  <c r="J48" i="1" s="1"/>
  <c r="V53" i="1"/>
  <c r="I53" i="1" s="1"/>
  <c r="W53" i="1"/>
  <c r="J53" i="1" s="1"/>
  <c r="V54" i="1"/>
  <c r="I54" i="1" s="1"/>
  <c r="W54" i="1"/>
  <c r="J54" i="1" s="1"/>
  <c r="V55" i="1"/>
  <c r="I55" i="1" s="1"/>
  <c r="W55" i="1"/>
  <c r="J55" i="1" s="1"/>
  <c r="V56" i="1"/>
  <c r="I56" i="1" s="1"/>
  <c r="W56" i="1"/>
  <c r="J56" i="1" s="1"/>
  <c r="V57" i="1"/>
  <c r="I57" i="1" s="1"/>
  <c r="W57" i="1"/>
  <c r="J57" i="1" s="1"/>
  <c r="V58" i="1"/>
  <c r="I58" i="1" s="1"/>
  <c r="W58" i="1"/>
  <c r="J58" i="1" s="1"/>
  <c r="V62" i="1"/>
  <c r="I62" i="1" s="1"/>
  <c r="W62" i="1"/>
  <c r="J62" i="1" s="1"/>
  <c r="V63" i="1"/>
  <c r="I63" i="1" s="1"/>
  <c r="W63" i="1"/>
  <c r="J63" i="1" s="1"/>
  <c r="V64" i="1"/>
  <c r="I64" i="1" s="1"/>
  <c r="W64" i="1"/>
  <c r="J64" i="1" s="1"/>
  <c r="V65" i="1"/>
  <c r="I65" i="1" s="1"/>
  <c r="W65" i="1"/>
  <c r="J65" i="1" s="1"/>
  <c r="V66" i="1"/>
  <c r="I66" i="1" s="1"/>
  <c r="W66" i="1"/>
  <c r="J66" i="1" s="1"/>
  <c r="V67" i="1"/>
  <c r="I67" i="1" s="1"/>
  <c r="W67" i="1"/>
  <c r="J67" i="1" s="1"/>
  <c r="V68" i="1"/>
  <c r="I68" i="1" s="1"/>
  <c r="W68" i="1"/>
  <c r="J68" i="1" s="1"/>
  <c r="V69" i="1"/>
  <c r="I69" i="1" s="1"/>
  <c r="W69" i="1"/>
  <c r="J69" i="1" s="1"/>
  <c r="V74" i="1"/>
  <c r="I74" i="1" s="1"/>
  <c r="W74" i="1"/>
  <c r="J74" i="1" s="1"/>
  <c r="V75" i="1"/>
  <c r="I75" i="1" s="1"/>
  <c r="W75" i="1"/>
  <c r="J75" i="1" s="1"/>
  <c r="V76" i="1"/>
  <c r="I76" i="1" s="1"/>
  <c r="W76" i="1"/>
  <c r="J76" i="1" s="1"/>
  <c r="V77" i="1"/>
  <c r="I77" i="1" s="1"/>
  <c r="W77" i="1"/>
  <c r="J77" i="1" s="1"/>
  <c r="V3" i="1"/>
  <c r="I3" i="1" s="1"/>
  <c r="W3" i="1"/>
  <c r="J3" i="1" s="1"/>
  <c r="V4" i="1"/>
  <c r="I4" i="1" s="1"/>
  <c r="W4" i="1"/>
  <c r="J4" i="1" s="1"/>
  <c r="V5" i="1"/>
  <c r="I5" i="1" s="1"/>
  <c r="W5" i="1"/>
  <c r="J5" i="1" s="1"/>
  <c r="V6" i="1"/>
  <c r="I6" i="1" s="1"/>
  <c r="W6" i="1"/>
  <c r="J6" i="1" s="1"/>
  <c r="V7" i="1"/>
  <c r="I7" i="1" s="1"/>
  <c r="W7" i="1"/>
  <c r="J7" i="1" s="1"/>
  <c r="V8" i="1"/>
  <c r="I8" i="1" s="1"/>
  <c r="W8" i="1"/>
  <c r="J8" i="1" s="1"/>
  <c r="V9" i="1"/>
  <c r="I9" i="1" s="1"/>
  <c r="W9" i="1"/>
  <c r="J9" i="1" s="1"/>
  <c r="V10" i="1"/>
  <c r="I10" i="1" s="1"/>
  <c r="W10" i="1"/>
  <c r="J10" i="1" s="1"/>
  <c r="V15" i="1"/>
  <c r="I15" i="1" s="1"/>
  <c r="W15" i="1"/>
  <c r="J15" i="1" s="1"/>
  <c r="V16" i="1"/>
  <c r="I16" i="1" s="1"/>
  <c r="W16" i="1"/>
  <c r="J16" i="1" s="1"/>
  <c r="V17" i="1"/>
  <c r="I17" i="1" s="1"/>
  <c r="W17" i="1"/>
  <c r="J17" i="1" s="1"/>
  <c r="V18" i="1"/>
  <c r="I18" i="1" s="1"/>
  <c r="W18" i="1"/>
  <c r="J18" i="1" s="1"/>
  <c r="V19" i="1"/>
  <c r="I19" i="1" s="1"/>
  <c r="W19" i="1"/>
  <c r="J19" i="1" s="1"/>
  <c r="V20" i="1"/>
  <c r="I20" i="1" s="1"/>
  <c r="W20" i="1"/>
  <c r="J20" i="1" s="1"/>
  <c r="V24" i="1"/>
  <c r="I24" i="1" s="1"/>
  <c r="W24" i="1"/>
  <c r="J24" i="1" s="1"/>
  <c r="V25" i="1"/>
  <c r="I25" i="1" s="1"/>
  <c r="W25" i="1"/>
  <c r="J25" i="1" s="1"/>
  <c r="V26" i="1"/>
  <c r="I26" i="1" s="1"/>
  <c r="W26" i="1"/>
  <c r="J26" i="1" s="1"/>
  <c r="V27" i="1"/>
  <c r="I27" i="1" s="1"/>
  <c r="W27" i="1"/>
  <c r="J27" i="1" s="1"/>
  <c r="V28" i="1"/>
  <c r="I28" i="1" s="1"/>
  <c r="W28" i="1"/>
  <c r="J28" i="1" s="1"/>
  <c r="V29" i="1"/>
  <c r="I29" i="1" s="1"/>
  <c r="W29" i="1"/>
  <c r="J29" i="1" s="1"/>
  <c r="V30" i="1"/>
  <c r="I30" i="1" s="1"/>
  <c r="W30" i="1"/>
  <c r="J30" i="1" s="1"/>
  <c r="V31" i="1"/>
  <c r="I31" i="1" s="1"/>
  <c r="W31" i="1"/>
  <c r="J31" i="1" s="1"/>
  <c r="V36" i="1"/>
  <c r="I36" i="1" s="1"/>
  <c r="W36" i="1"/>
  <c r="J36" i="1" s="1"/>
  <c r="V37" i="1"/>
  <c r="I37" i="1" s="1"/>
  <c r="W37" i="1"/>
  <c r="J37" i="1" s="1"/>
  <c r="V38" i="1"/>
  <c r="I38" i="1" s="1"/>
  <c r="W38" i="1"/>
  <c r="J38" i="1" s="1"/>
  <c r="W2" i="1"/>
  <c r="J2" i="1" s="1"/>
  <c r="V2" i="1"/>
  <c r="I2" i="1" s="1"/>
  <c r="H4" i="10"/>
  <c r="H5" i="10"/>
  <c r="H6" i="10"/>
  <c r="H7" i="10"/>
  <c r="H8" i="10"/>
  <c r="I8" i="10" s="1"/>
  <c r="H9" i="10"/>
  <c r="E9" i="10" s="1"/>
  <c r="H10" i="10"/>
  <c r="H11" i="10"/>
  <c r="H12" i="10"/>
  <c r="H13" i="10"/>
  <c r="H14" i="10"/>
  <c r="H15" i="10"/>
  <c r="E15" i="10" s="1"/>
  <c r="H16" i="10"/>
  <c r="H17" i="10"/>
  <c r="J17" i="10" s="1"/>
  <c r="H18" i="10"/>
  <c r="H19" i="10"/>
  <c r="H20" i="10"/>
  <c r="H21" i="10"/>
  <c r="H22" i="10"/>
  <c r="H23" i="10"/>
  <c r="H24" i="10"/>
  <c r="J24" i="10" s="1"/>
  <c r="H25" i="10"/>
  <c r="J25" i="10" s="1"/>
  <c r="H26" i="10"/>
  <c r="H27" i="10"/>
  <c r="H28" i="10"/>
  <c r="H29" i="10"/>
  <c r="H30" i="10"/>
  <c r="E30" i="10" s="1"/>
  <c r="H31" i="10"/>
  <c r="H32" i="10"/>
  <c r="H33" i="10"/>
  <c r="H34" i="10"/>
  <c r="H35" i="10"/>
  <c r="H36" i="10"/>
  <c r="K36" i="10" s="1"/>
  <c r="H37" i="10"/>
  <c r="H2" i="10"/>
  <c r="E2" i="10" s="1"/>
  <c r="Q2" i="10" s="1"/>
  <c r="H3" i="10"/>
  <c r="R37" i="10"/>
  <c r="J37" i="10"/>
  <c r="R36" i="10"/>
  <c r="J36" i="10"/>
  <c r="I36" i="10"/>
  <c r="R35" i="10"/>
  <c r="J35" i="10"/>
  <c r="G35" i="10"/>
  <c r="R34" i="10"/>
  <c r="J34" i="10"/>
  <c r="I34" i="10"/>
  <c r="R33" i="10"/>
  <c r="J33" i="10"/>
  <c r="I33" i="10"/>
  <c r="R32" i="10"/>
  <c r="K32" i="10"/>
  <c r="J32" i="10"/>
  <c r="Q32" i="10"/>
  <c r="G32" i="10"/>
  <c r="R31" i="10"/>
  <c r="J31" i="10"/>
  <c r="I31" i="10"/>
  <c r="G31" i="10"/>
  <c r="R30" i="10"/>
  <c r="K30" i="10"/>
  <c r="J30" i="10"/>
  <c r="I30" i="10"/>
  <c r="L30" i="10" s="1"/>
  <c r="R29" i="10"/>
  <c r="J29" i="10"/>
  <c r="R28" i="10"/>
  <c r="K28" i="10"/>
  <c r="J28" i="10"/>
  <c r="R27" i="10"/>
  <c r="K27" i="10"/>
  <c r="J27" i="10"/>
  <c r="I27" i="10"/>
  <c r="E27" i="10"/>
  <c r="S27" i="10" s="1"/>
  <c r="R26" i="10"/>
  <c r="K26" i="10"/>
  <c r="J26" i="10"/>
  <c r="I26" i="10"/>
  <c r="S25" i="10"/>
  <c r="K25" i="10"/>
  <c r="S24" i="10"/>
  <c r="K24" i="10"/>
  <c r="I24" i="10"/>
  <c r="S23" i="10"/>
  <c r="K23" i="10"/>
  <c r="G23" i="10"/>
  <c r="S22" i="10"/>
  <c r="K22" i="10"/>
  <c r="J22" i="10"/>
  <c r="I22" i="10"/>
  <c r="S21" i="10"/>
  <c r="K21" i="10"/>
  <c r="J21" i="10"/>
  <c r="I21" i="10"/>
  <c r="S20" i="10"/>
  <c r="R20" i="10"/>
  <c r="K20" i="10"/>
  <c r="J20" i="10"/>
  <c r="G20" i="10"/>
  <c r="E20" i="10" s="1"/>
  <c r="S19" i="10"/>
  <c r="K19" i="10"/>
  <c r="Q19" i="10"/>
  <c r="G19" i="10"/>
  <c r="S18" i="10"/>
  <c r="K18" i="10"/>
  <c r="J18" i="10"/>
  <c r="M18" i="10" s="1"/>
  <c r="I18" i="10"/>
  <c r="E18" i="10"/>
  <c r="Q18" i="10" s="1"/>
  <c r="S17" i="10"/>
  <c r="K17" i="10"/>
  <c r="S16" i="10"/>
  <c r="K16" i="10"/>
  <c r="S15" i="10"/>
  <c r="K15" i="10"/>
  <c r="I15" i="10"/>
  <c r="S14" i="10"/>
  <c r="K14" i="10"/>
  <c r="J14" i="10"/>
  <c r="G9" i="10"/>
  <c r="G11" i="10"/>
  <c r="G12" i="10" s="1"/>
  <c r="G13" i="10" s="1"/>
  <c r="G8" i="10"/>
  <c r="G7" i="10"/>
  <c r="S13" i="10"/>
  <c r="R13" i="10"/>
  <c r="K13" i="10"/>
  <c r="J13" i="10"/>
  <c r="S12" i="10"/>
  <c r="R12" i="10"/>
  <c r="K12" i="10"/>
  <c r="J12" i="10"/>
  <c r="I12" i="10"/>
  <c r="S11" i="10"/>
  <c r="R11" i="10"/>
  <c r="K11" i="10"/>
  <c r="J11" i="10"/>
  <c r="S10" i="10"/>
  <c r="R10" i="10"/>
  <c r="K10" i="10"/>
  <c r="J10" i="10"/>
  <c r="S9" i="10"/>
  <c r="R9" i="10"/>
  <c r="K9" i="10"/>
  <c r="J9" i="10"/>
  <c r="S8" i="10"/>
  <c r="R8" i="10"/>
  <c r="K8" i="10"/>
  <c r="J8" i="10"/>
  <c r="S7" i="10"/>
  <c r="R7" i="10"/>
  <c r="K7" i="10"/>
  <c r="J7" i="10"/>
  <c r="S6" i="10"/>
  <c r="R6" i="10"/>
  <c r="K6" i="10"/>
  <c r="J6" i="10"/>
  <c r="J3" i="10"/>
  <c r="K3" i="10"/>
  <c r="R3" i="10"/>
  <c r="S3" i="10"/>
  <c r="J4" i="10"/>
  <c r="K4" i="10"/>
  <c r="R4" i="10"/>
  <c r="S4" i="10"/>
  <c r="E5" i="10"/>
  <c r="Q5" i="10" s="1"/>
  <c r="J5" i="10"/>
  <c r="K5" i="10"/>
  <c r="R5" i="10"/>
  <c r="S5" i="10"/>
  <c r="S2" i="10"/>
  <c r="R2" i="10"/>
  <c r="K2" i="10"/>
  <c r="J2" i="10"/>
  <c r="J4" i="8"/>
  <c r="K4" i="8" s="1"/>
  <c r="T3" i="8"/>
  <c r="U3" i="8"/>
  <c r="T4" i="8"/>
  <c r="U4" i="8"/>
  <c r="S5" i="8"/>
  <c r="U5" i="8"/>
  <c r="S6" i="8"/>
  <c r="T6" i="8"/>
  <c r="U6" i="8"/>
  <c r="S7" i="8"/>
  <c r="U7" i="8"/>
  <c r="S8" i="8"/>
  <c r="T8" i="8"/>
  <c r="S9" i="8"/>
  <c r="T9" i="8"/>
  <c r="S10" i="8"/>
  <c r="T10" i="8"/>
  <c r="T11" i="8"/>
  <c r="U11" i="8"/>
  <c r="T12" i="8"/>
  <c r="U12" i="8"/>
  <c r="T13" i="8"/>
  <c r="U13" i="8"/>
  <c r="S14" i="8"/>
  <c r="U14" i="8"/>
  <c r="S15" i="8"/>
  <c r="U15" i="8"/>
  <c r="S16" i="8"/>
  <c r="U16" i="8"/>
  <c r="S17" i="8"/>
  <c r="T17" i="8"/>
  <c r="S18" i="8"/>
  <c r="T18" i="8"/>
  <c r="S19" i="8"/>
  <c r="T19" i="8"/>
  <c r="S20" i="8"/>
  <c r="T20" i="8"/>
  <c r="U20" i="8"/>
  <c r="T21" i="8"/>
  <c r="U21" i="8"/>
  <c r="T22" i="8"/>
  <c r="U22" i="8"/>
  <c r="S23" i="8"/>
  <c r="U23" i="8"/>
  <c r="S24" i="8"/>
  <c r="U24" i="8"/>
  <c r="S25" i="8"/>
  <c r="U25" i="8"/>
  <c r="S26" i="8"/>
  <c r="T26" i="8"/>
  <c r="S27" i="8"/>
  <c r="T27" i="8"/>
  <c r="S28" i="8"/>
  <c r="T28" i="8"/>
  <c r="T29" i="8"/>
  <c r="U29" i="8"/>
  <c r="T30" i="8"/>
  <c r="U30" i="8"/>
  <c r="T31" i="8"/>
  <c r="U31" i="8"/>
  <c r="S32" i="8"/>
  <c r="U32" i="8"/>
  <c r="S33" i="8"/>
  <c r="U33" i="8"/>
  <c r="S34" i="8"/>
  <c r="U34" i="8"/>
  <c r="S35" i="8"/>
  <c r="T35" i="8"/>
  <c r="S36" i="8"/>
  <c r="T36" i="8"/>
  <c r="S37" i="8"/>
  <c r="T37" i="8"/>
  <c r="U2" i="8"/>
  <c r="T2" i="8"/>
  <c r="J3" i="8"/>
  <c r="K3" i="8" s="1"/>
  <c r="J5" i="8"/>
  <c r="J6" i="8"/>
  <c r="J7" i="8"/>
  <c r="T7" i="8" s="1"/>
  <c r="J8" i="8"/>
  <c r="U8" i="8" s="1"/>
  <c r="J9" i="8"/>
  <c r="U9" i="8" s="1"/>
  <c r="J10" i="8"/>
  <c r="J11" i="8"/>
  <c r="K11" i="8" s="1"/>
  <c r="J12" i="8"/>
  <c r="K12" i="8" s="1"/>
  <c r="J13" i="8"/>
  <c r="J14" i="8"/>
  <c r="L14" i="8" s="1"/>
  <c r="J15" i="8"/>
  <c r="J16" i="8"/>
  <c r="L16" i="8" s="1"/>
  <c r="J17" i="8"/>
  <c r="M17" i="8" s="1"/>
  <c r="J18" i="8"/>
  <c r="M18" i="8" s="1"/>
  <c r="J19" i="8"/>
  <c r="J20" i="8"/>
  <c r="J21" i="8"/>
  <c r="K21" i="8" s="1"/>
  <c r="J22" i="8"/>
  <c r="K22" i="8" s="1"/>
  <c r="J23" i="8"/>
  <c r="J24" i="8"/>
  <c r="J25" i="8"/>
  <c r="L25" i="8" s="1"/>
  <c r="J26" i="8"/>
  <c r="M26" i="8" s="1"/>
  <c r="J27" i="8"/>
  <c r="J28" i="8"/>
  <c r="M28" i="8" s="1"/>
  <c r="J29" i="8"/>
  <c r="K29" i="8" s="1"/>
  <c r="J30" i="8"/>
  <c r="K30" i="8" s="1"/>
  <c r="J31" i="8"/>
  <c r="K31" i="8" s="1"/>
  <c r="J32" i="8"/>
  <c r="J33" i="8"/>
  <c r="L33" i="8" s="1"/>
  <c r="J34" i="8"/>
  <c r="J35" i="8"/>
  <c r="M35" i="8" s="1"/>
  <c r="J36" i="8"/>
  <c r="M36" i="8" s="1"/>
  <c r="J37" i="8"/>
  <c r="M37" i="8" s="1"/>
  <c r="J2" i="8"/>
  <c r="K2" i="8" s="1"/>
  <c r="I3" i="9"/>
  <c r="J3" i="9"/>
  <c r="I4" i="9"/>
  <c r="J4" i="9"/>
  <c r="R4" i="9" s="1"/>
  <c r="I5" i="9"/>
  <c r="J5" i="9"/>
  <c r="I6" i="9"/>
  <c r="J6" i="9"/>
  <c r="I7" i="9"/>
  <c r="J7" i="9"/>
  <c r="R7" i="9" s="1"/>
  <c r="I8" i="9"/>
  <c r="J8" i="9"/>
  <c r="I9" i="9"/>
  <c r="J9" i="9"/>
  <c r="I10" i="9"/>
  <c r="J10" i="9"/>
  <c r="R10" i="9" s="1"/>
  <c r="I11" i="9"/>
  <c r="J11" i="9"/>
  <c r="I12" i="9"/>
  <c r="J12" i="9"/>
  <c r="R12" i="9" s="1"/>
  <c r="I13" i="9"/>
  <c r="J13" i="9"/>
  <c r="I14" i="9"/>
  <c r="J14" i="9"/>
  <c r="I15" i="9"/>
  <c r="J15" i="9"/>
  <c r="I16" i="9"/>
  <c r="J16" i="9"/>
  <c r="I17" i="9"/>
  <c r="J17" i="9"/>
  <c r="I18" i="9"/>
  <c r="Q18" i="9" s="1"/>
  <c r="J18" i="9"/>
  <c r="R18" i="9" s="1"/>
  <c r="I19" i="9"/>
  <c r="J19" i="9"/>
  <c r="I20" i="9"/>
  <c r="J20" i="9"/>
  <c r="R20" i="9" s="1"/>
  <c r="I21" i="9"/>
  <c r="J21" i="9"/>
  <c r="I22" i="9"/>
  <c r="J22" i="9"/>
  <c r="I23" i="9"/>
  <c r="J23" i="9"/>
  <c r="R23" i="9" s="1"/>
  <c r="I24" i="9"/>
  <c r="J24" i="9"/>
  <c r="I25" i="9"/>
  <c r="J25" i="9"/>
  <c r="I26" i="9"/>
  <c r="Q26" i="9" s="1"/>
  <c r="J26" i="9"/>
  <c r="R26" i="9" s="1"/>
  <c r="I27" i="9"/>
  <c r="J27" i="9"/>
  <c r="I28" i="9"/>
  <c r="J28" i="9"/>
  <c r="R28" i="9" s="1"/>
  <c r="I29" i="9"/>
  <c r="J29" i="9"/>
  <c r="I30" i="9"/>
  <c r="J30" i="9"/>
  <c r="I31" i="9"/>
  <c r="J31" i="9"/>
  <c r="I32" i="9"/>
  <c r="J32" i="9"/>
  <c r="I33" i="9"/>
  <c r="J33" i="9"/>
  <c r="I34" i="9"/>
  <c r="J34" i="9"/>
  <c r="R34" i="9" s="1"/>
  <c r="I35" i="9"/>
  <c r="J35" i="9"/>
  <c r="I36" i="9"/>
  <c r="J36" i="9"/>
  <c r="R36" i="9" s="1"/>
  <c r="I37" i="9"/>
  <c r="J37" i="9"/>
  <c r="I38" i="9"/>
  <c r="J38" i="9"/>
  <c r="I39" i="9"/>
  <c r="J39" i="9"/>
  <c r="R39" i="9" s="1"/>
  <c r="I40" i="9"/>
  <c r="J40" i="9"/>
  <c r="I41" i="9"/>
  <c r="J41" i="9"/>
  <c r="I42" i="9"/>
  <c r="J42" i="9"/>
  <c r="R42" i="9" s="1"/>
  <c r="I43" i="9"/>
  <c r="J43" i="9"/>
  <c r="I44" i="9"/>
  <c r="J44" i="9"/>
  <c r="R44" i="9" s="1"/>
  <c r="I45" i="9"/>
  <c r="J45" i="9"/>
  <c r="I46" i="9"/>
  <c r="J46" i="9"/>
  <c r="I47" i="9"/>
  <c r="J47" i="9"/>
  <c r="I48" i="9"/>
  <c r="J48" i="9"/>
  <c r="I49" i="9"/>
  <c r="J49" i="9"/>
  <c r="I50" i="9"/>
  <c r="J50" i="9"/>
  <c r="R50" i="9" s="1"/>
  <c r="I51" i="9"/>
  <c r="J51" i="9"/>
  <c r="I52" i="9"/>
  <c r="J52" i="9"/>
  <c r="R52" i="9" s="1"/>
  <c r="I53" i="9"/>
  <c r="J53" i="9"/>
  <c r="I54" i="9"/>
  <c r="J54" i="9"/>
  <c r="I55" i="9"/>
  <c r="J55" i="9"/>
  <c r="R55" i="9" s="1"/>
  <c r="I56" i="9"/>
  <c r="J56" i="9"/>
  <c r="I57" i="9"/>
  <c r="J57" i="9"/>
  <c r="I58" i="9"/>
  <c r="J58" i="9"/>
  <c r="R58" i="9" s="1"/>
  <c r="I59" i="9"/>
  <c r="J59" i="9"/>
  <c r="I60" i="9"/>
  <c r="J60" i="9"/>
  <c r="R60" i="9" s="1"/>
  <c r="I61" i="9"/>
  <c r="J61" i="9"/>
  <c r="I62" i="9"/>
  <c r="J62" i="9"/>
  <c r="I63" i="9"/>
  <c r="J63" i="9"/>
  <c r="I64" i="9"/>
  <c r="J64" i="9"/>
  <c r="I65" i="9"/>
  <c r="J65" i="9"/>
  <c r="I66" i="9"/>
  <c r="Q66" i="9" s="1"/>
  <c r="J66" i="9"/>
  <c r="R66" i="9" s="1"/>
  <c r="I67" i="9"/>
  <c r="J67" i="9"/>
  <c r="I68" i="9"/>
  <c r="J68" i="9"/>
  <c r="R68" i="9" s="1"/>
  <c r="I69" i="9"/>
  <c r="J69" i="9"/>
  <c r="I70" i="9"/>
  <c r="J70" i="9"/>
  <c r="I71" i="9"/>
  <c r="J71" i="9"/>
  <c r="R71" i="9" s="1"/>
  <c r="I72" i="9"/>
  <c r="J72" i="9"/>
  <c r="I73" i="9"/>
  <c r="J73" i="9"/>
  <c r="I74" i="9"/>
  <c r="J74" i="9"/>
  <c r="R74" i="9" s="1"/>
  <c r="I75" i="9"/>
  <c r="J75" i="9"/>
  <c r="I76" i="9"/>
  <c r="L76" i="9" s="1"/>
  <c r="J76" i="9"/>
  <c r="R76" i="9" s="1"/>
  <c r="I77" i="9"/>
  <c r="J77" i="9"/>
  <c r="I78" i="9"/>
  <c r="J78" i="9"/>
  <c r="I79" i="9"/>
  <c r="J79" i="9"/>
  <c r="I80" i="9"/>
  <c r="J80" i="9"/>
  <c r="I81" i="9"/>
  <c r="J81" i="9"/>
  <c r="I82" i="9"/>
  <c r="J82" i="9"/>
  <c r="R82" i="9" s="1"/>
  <c r="J2" i="9"/>
  <c r="I2" i="9"/>
  <c r="H2" i="9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P51" i="9" s="1"/>
  <c r="H52" i="9"/>
  <c r="H53" i="9"/>
  <c r="P53" i="9" s="1"/>
  <c r="H54" i="9"/>
  <c r="H55" i="9"/>
  <c r="H56" i="9"/>
  <c r="H57" i="9"/>
  <c r="H58" i="9"/>
  <c r="P58" i="9" s="1"/>
  <c r="H59" i="9"/>
  <c r="H60" i="9"/>
  <c r="H61" i="9"/>
  <c r="P61" i="9" s="1"/>
  <c r="H62" i="9"/>
  <c r="P62" i="9" s="1"/>
  <c r="H63" i="9"/>
  <c r="H64" i="9"/>
  <c r="H65" i="9"/>
  <c r="H66" i="9"/>
  <c r="H67" i="9"/>
  <c r="P67" i="9" s="1"/>
  <c r="H68" i="9"/>
  <c r="P68" i="9" s="1"/>
  <c r="H69" i="9"/>
  <c r="P69" i="9" s="1"/>
  <c r="H70" i="9"/>
  <c r="H71" i="9"/>
  <c r="P71" i="9" s="1"/>
  <c r="H72" i="9"/>
  <c r="H73" i="9"/>
  <c r="H74" i="9"/>
  <c r="P74" i="9" s="1"/>
  <c r="H75" i="9"/>
  <c r="H76" i="9"/>
  <c r="H77" i="9"/>
  <c r="P77" i="9" s="1"/>
  <c r="H78" i="9"/>
  <c r="P78" i="9" s="1"/>
  <c r="H79" i="9"/>
  <c r="P79" i="9" s="1"/>
  <c r="H80" i="9"/>
  <c r="H81" i="9"/>
  <c r="P81" i="9" s="1"/>
  <c r="H82" i="9"/>
  <c r="H3" i="9"/>
  <c r="R3" i="9"/>
  <c r="R5" i="9"/>
  <c r="R6" i="9"/>
  <c r="R8" i="9"/>
  <c r="R9" i="9"/>
  <c r="R11" i="9"/>
  <c r="R13" i="9"/>
  <c r="R14" i="9"/>
  <c r="R15" i="9"/>
  <c r="R16" i="9"/>
  <c r="R17" i="9"/>
  <c r="R19" i="9"/>
  <c r="R21" i="9"/>
  <c r="R22" i="9"/>
  <c r="R24" i="9"/>
  <c r="R25" i="9"/>
  <c r="R27" i="9"/>
  <c r="R29" i="9"/>
  <c r="R30" i="9"/>
  <c r="R31" i="9"/>
  <c r="R32" i="9"/>
  <c r="R33" i="9"/>
  <c r="R35" i="9"/>
  <c r="R37" i="9"/>
  <c r="R38" i="9"/>
  <c r="R40" i="9"/>
  <c r="R41" i="9"/>
  <c r="R43" i="9"/>
  <c r="R45" i="9"/>
  <c r="R46" i="9"/>
  <c r="R47" i="9"/>
  <c r="R48" i="9"/>
  <c r="R49" i="9"/>
  <c r="R51" i="9"/>
  <c r="R53" i="9"/>
  <c r="R54" i="9"/>
  <c r="R56" i="9"/>
  <c r="R57" i="9"/>
  <c r="R59" i="9"/>
  <c r="R61" i="9"/>
  <c r="R62" i="9"/>
  <c r="R63" i="9"/>
  <c r="R64" i="9"/>
  <c r="R65" i="9"/>
  <c r="R67" i="9"/>
  <c r="R69" i="9"/>
  <c r="R70" i="9"/>
  <c r="R72" i="9"/>
  <c r="R73" i="9"/>
  <c r="R75" i="9"/>
  <c r="R77" i="9"/>
  <c r="R78" i="9"/>
  <c r="R79" i="9"/>
  <c r="R80" i="9"/>
  <c r="R81" i="9"/>
  <c r="R2" i="9"/>
  <c r="P82" i="9"/>
  <c r="G82" i="9"/>
  <c r="C82" i="9"/>
  <c r="Q81" i="9"/>
  <c r="G81" i="9"/>
  <c r="C81" i="9"/>
  <c r="P80" i="9"/>
  <c r="G80" i="9"/>
  <c r="C80" i="9"/>
  <c r="G79" i="9"/>
  <c r="C79" i="9"/>
  <c r="G78" i="9"/>
  <c r="C78" i="9"/>
  <c r="G77" i="9"/>
  <c r="C77" i="9"/>
  <c r="Q76" i="9"/>
  <c r="G76" i="9"/>
  <c r="C76" i="9"/>
  <c r="P75" i="9"/>
  <c r="G75" i="9"/>
  <c r="G74" i="9"/>
  <c r="C74" i="9"/>
  <c r="P73" i="9"/>
  <c r="G73" i="9"/>
  <c r="C73" i="9"/>
  <c r="G72" i="9"/>
  <c r="Q72" i="9" s="1"/>
  <c r="C72" i="9"/>
  <c r="G71" i="9"/>
  <c r="Q70" i="9"/>
  <c r="P70" i="9"/>
  <c r="G70" i="9"/>
  <c r="C70" i="9"/>
  <c r="G69" i="9"/>
  <c r="C69" i="9"/>
  <c r="G68" i="9"/>
  <c r="C68" i="9"/>
  <c r="Q67" i="9"/>
  <c r="G67" i="9"/>
  <c r="C67" i="9"/>
  <c r="G66" i="9"/>
  <c r="C66" i="9"/>
  <c r="P65" i="9"/>
  <c r="G65" i="9"/>
  <c r="Q65" i="9" s="1"/>
  <c r="C65" i="9"/>
  <c r="P64" i="9"/>
  <c r="G64" i="9"/>
  <c r="P63" i="9"/>
  <c r="G63" i="9"/>
  <c r="Q63" i="9" s="1"/>
  <c r="G62" i="9"/>
  <c r="G61" i="9"/>
  <c r="Q61" i="9" s="1"/>
  <c r="P60" i="9"/>
  <c r="G60" i="9"/>
  <c r="P59" i="9"/>
  <c r="G59" i="9"/>
  <c r="Q59" i="9" s="1"/>
  <c r="G58" i="9"/>
  <c r="P57" i="9"/>
  <c r="G57" i="9"/>
  <c r="Q57" i="9" s="1"/>
  <c r="P56" i="9"/>
  <c r="G56" i="9"/>
  <c r="Q3" i="9"/>
  <c r="Q8" i="9"/>
  <c r="Q9" i="9"/>
  <c r="Q10" i="9"/>
  <c r="Q16" i="9"/>
  <c r="Q17" i="9"/>
  <c r="Q19" i="9"/>
  <c r="Q24" i="9"/>
  <c r="Q25" i="9"/>
  <c r="P44" i="9"/>
  <c r="P49" i="9"/>
  <c r="P52" i="9"/>
  <c r="Q2" i="9"/>
  <c r="G55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P15" i="9" s="1"/>
  <c r="G16" i="9"/>
  <c r="G17" i="9"/>
  <c r="P17" i="9" s="1"/>
  <c r="G18" i="9"/>
  <c r="G19" i="9"/>
  <c r="G20" i="9"/>
  <c r="G21" i="9"/>
  <c r="G22" i="9"/>
  <c r="G23" i="9"/>
  <c r="G24" i="9"/>
  <c r="G25" i="9"/>
  <c r="G26" i="9"/>
  <c r="G27" i="9"/>
  <c r="P27" i="9" s="1"/>
  <c r="G28" i="9"/>
  <c r="G29" i="9"/>
  <c r="G30" i="9"/>
  <c r="Q30" i="9" s="1"/>
  <c r="G31" i="9"/>
  <c r="Q31" i="9" s="1"/>
  <c r="G32" i="9"/>
  <c r="G33" i="9"/>
  <c r="Q33" i="9" s="1"/>
  <c r="G34" i="9"/>
  <c r="G35" i="9"/>
  <c r="Q35" i="9" s="1"/>
  <c r="G36" i="9"/>
  <c r="Q36" i="9" s="1"/>
  <c r="G37" i="9"/>
  <c r="G38" i="9"/>
  <c r="G39" i="9"/>
  <c r="G40" i="9"/>
  <c r="Q40" i="9" s="1"/>
  <c r="G41" i="9"/>
  <c r="Q41" i="9" s="1"/>
  <c r="G42" i="9"/>
  <c r="G43" i="9"/>
  <c r="Q43" i="9" s="1"/>
  <c r="G44" i="9"/>
  <c r="Q44" i="9" s="1"/>
  <c r="G45" i="9"/>
  <c r="G46" i="9"/>
  <c r="Q46" i="9" s="1"/>
  <c r="G47" i="9"/>
  <c r="Q47" i="9" s="1"/>
  <c r="G48" i="9"/>
  <c r="G49" i="9"/>
  <c r="Q49" i="9" s="1"/>
  <c r="G50" i="9"/>
  <c r="G51" i="9"/>
  <c r="G52" i="9"/>
  <c r="G53" i="9"/>
  <c r="G54" i="9"/>
  <c r="Q54" i="9" s="1"/>
  <c r="G2" i="9"/>
  <c r="P2" i="9" s="1"/>
  <c r="C55" i="9"/>
  <c r="C54" i="9"/>
  <c r="C53" i="9"/>
  <c r="C52" i="9"/>
  <c r="C51" i="9"/>
  <c r="C50" i="9"/>
  <c r="C49" i="9"/>
  <c r="C47" i="9"/>
  <c r="C46" i="9"/>
  <c r="C45" i="9"/>
  <c r="C43" i="9"/>
  <c r="C42" i="9"/>
  <c r="C41" i="9"/>
  <c r="C40" i="9"/>
  <c r="P39" i="9"/>
  <c r="C39" i="9"/>
  <c r="C38" i="9"/>
  <c r="Q28" i="9"/>
  <c r="C28" i="9"/>
  <c r="Q27" i="9"/>
  <c r="C27" i="9"/>
  <c r="C26" i="9"/>
  <c r="C25" i="9"/>
  <c r="C24" i="9"/>
  <c r="Q23" i="9"/>
  <c r="C23" i="9"/>
  <c r="Q22" i="9"/>
  <c r="C22" i="9"/>
  <c r="Q21" i="9"/>
  <c r="Q20" i="9"/>
  <c r="C20" i="9"/>
  <c r="C19" i="9"/>
  <c r="C18" i="9"/>
  <c r="C16" i="9"/>
  <c r="C15" i="9"/>
  <c r="Q14" i="9"/>
  <c r="C14" i="9"/>
  <c r="Q13" i="9"/>
  <c r="C13" i="9"/>
  <c r="Q12" i="9"/>
  <c r="C12" i="9"/>
  <c r="Q11" i="9"/>
  <c r="C11" i="9"/>
  <c r="Q7" i="9"/>
  <c r="Q6" i="9"/>
  <c r="Q5" i="9"/>
  <c r="Q4" i="9"/>
  <c r="K5" i="8"/>
  <c r="K6" i="8"/>
  <c r="K7" i="8"/>
  <c r="K8" i="8"/>
  <c r="K9" i="8"/>
  <c r="K10" i="8"/>
  <c r="K14" i="8"/>
  <c r="K15" i="8"/>
  <c r="K16" i="8"/>
  <c r="K17" i="8"/>
  <c r="K18" i="8"/>
  <c r="K19" i="8"/>
  <c r="K20" i="8"/>
  <c r="K23" i="8"/>
  <c r="K24" i="8"/>
  <c r="K25" i="8"/>
  <c r="K26" i="8"/>
  <c r="K27" i="8"/>
  <c r="K28" i="8"/>
  <c r="K32" i="8"/>
  <c r="K33" i="8"/>
  <c r="K34" i="8"/>
  <c r="K35" i="8"/>
  <c r="K36" i="8"/>
  <c r="K37" i="8"/>
  <c r="L37" i="8"/>
  <c r="I37" i="8"/>
  <c r="L36" i="8"/>
  <c r="I36" i="8"/>
  <c r="L35" i="8"/>
  <c r="I35" i="8"/>
  <c r="M34" i="8"/>
  <c r="I34" i="8"/>
  <c r="M33" i="8"/>
  <c r="I33" i="8"/>
  <c r="M32" i="8"/>
  <c r="I32" i="8"/>
  <c r="M31" i="8"/>
  <c r="L31" i="8"/>
  <c r="I31" i="8"/>
  <c r="M30" i="8"/>
  <c r="L30" i="8"/>
  <c r="I30" i="8"/>
  <c r="M29" i="8"/>
  <c r="L29" i="8"/>
  <c r="I29" i="8"/>
  <c r="L28" i="8"/>
  <c r="I28" i="8"/>
  <c r="L27" i="8"/>
  <c r="M27" i="8"/>
  <c r="I27" i="8"/>
  <c r="L26" i="8"/>
  <c r="I26" i="8"/>
  <c r="M25" i="8"/>
  <c r="I25" i="8"/>
  <c r="M24" i="8"/>
  <c r="L24" i="8"/>
  <c r="I24" i="8"/>
  <c r="M23" i="8"/>
  <c r="L23" i="8"/>
  <c r="I23" i="8"/>
  <c r="M22" i="8"/>
  <c r="L22" i="8"/>
  <c r="I22" i="8"/>
  <c r="M21" i="8"/>
  <c r="L21" i="8"/>
  <c r="I21" i="8"/>
  <c r="M20" i="8"/>
  <c r="L20" i="8"/>
  <c r="I20" i="8"/>
  <c r="E20" i="8" s="1"/>
  <c r="L19" i="8"/>
  <c r="I19" i="8"/>
  <c r="L18" i="8"/>
  <c r="I18" i="8"/>
  <c r="L17" i="8"/>
  <c r="I17" i="8"/>
  <c r="M16" i="8"/>
  <c r="I16" i="8"/>
  <c r="M15" i="8"/>
  <c r="L15" i="8"/>
  <c r="I15" i="8"/>
  <c r="M14" i="8"/>
  <c r="I14" i="8"/>
  <c r="M13" i="8"/>
  <c r="L13" i="8"/>
  <c r="I13" i="8"/>
  <c r="M12" i="8"/>
  <c r="L12" i="8"/>
  <c r="I12" i="8"/>
  <c r="M11" i="8"/>
  <c r="L11" i="8"/>
  <c r="I11" i="8"/>
  <c r="L10" i="8"/>
  <c r="I10" i="8"/>
  <c r="L9" i="8"/>
  <c r="I9" i="8"/>
  <c r="E9" i="8" s="1"/>
  <c r="I8" i="8"/>
  <c r="E8" i="8" s="1"/>
  <c r="M7" i="8"/>
  <c r="I7" i="8"/>
  <c r="E7" i="8" s="1"/>
  <c r="M6" i="8"/>
  <c r="I6" i="8"/>
  <c r="E6" i="8" s="1"/>
  <c r="M5" i="8"/>
  <c r="I5" i="8"/>
  <c r="I2" i="8"/>
  <c r="I4" i="8"/>
  <c r="M4" i="8"/>
  <c r="L4" i="8"/>
  <c r="M3" i="8"/>
  <c r="L3" i="8"/>
  <c r="S2" i="8" l="1"/>
  <c r="E23" i="10"/>
  <c r="R23" i="10" s="1"/>
  <c r="J23" i="10"/>
  <c r="M31" i="11"/>
  <c r="M28" i="11"/>
  <c r="M34" i="11"/>
  <c r="M35" i="12"/>
  <c r="L34" i="12"/>
  <c r="M28" i="12"/>
  <c r="M33" i="12"/>
  <c r="K30" i="12"/>
  <c r="L18" i="12"/>
  <c r="J14" i="12"/>
  <c r="I11" i="12"/>
  <c r="M11" i="12" s="1"/>
  <c r="I6" i="12"/>
  <c r="L6" i="12" s="1"/>
  <c r="I4" i="12"/>
  <c r="M19" i="8"/>
  <c r="K13" i="8"/>
  <c r="L37" i="11"/>
  <c r="L30" i="11"/>
  <c r="L28" i="11"/>
  <c r="L29" i="11"/>
  <c r="I2" i="11"/>
  <c r="Q6" i="12"/>
  <c r="S29" i="12"/>
  <c r="G18" i="12"/>
  <c r="G10" i="12"/>
  <c r="Q3" i="12"/>
  <c r="I10" i="12"/>
  <c r="M10" i="12" s="1"/>
  <c r="J16" i="12"/>
  <c r="M16" i="12" s="1"/>
  <c r="M29" i="12"/>
  <c r="M32" i="12"/>
  <c r="M36" i="12"/>
  <c r="G16" i="12"/>
  <c r="M14" i="12"/>
  <c r="L27" i="12"/>
  <c r="L30" i="12"/>
  <c r="L36" i="12"/>
  <c r="G15" i="12"/>
  <c r="L33" i="12"/>
  <c r="Q11" i="12"/>
  <c r="M30" i="12"/>
  <c r="R15" i="12"/>
  <c r="L37" i="12"/>
  <c r="L15" i="12"/>
  <c r="M18" i="12"/>
  <c r="M26" i="12"/>
  <c r="G37" i="11"/>
  <c r="E36" i="11"/>
  <c r="L26" i="11"/>
  <c r="L31" i="11"/>
  <c r="L34" i="11"/>
  <c r="L27" i="11"/>
  <c r="L32" i="11"/>
  <c r="L35" i="11"/>
  <c r="E28" i="11"/>
  <c r="S28" i="11" s="1"/>
  <c r="M33" i="11"/>
  <c r="E22" i="11"/>
  <c r="R16" i="11"/>
  <c r="J16" i="11"/>
  <c r="M16" i="11" s="1"/>
  <c r="R22" i="11"/>
  <c r="G24" i="11"/>
  <c r="R23" i="11"/>
  <c r="M14" i="11"/>
  <c r="E11" i="11"/>
  <c r="Q11" i="11" s="1"/>
  <c r="I11" i="11"/>
  <c r="M11" i="11" s="1"/>
  <c r="Q10" i="11"/>
  <c r="I10" i="11"/>
  <c r="Q2" i="11"/>
  <c r="L4" i="12"/>
  <c r="M4" i="12"/>
  <c r="J19" i="12"/>
  <c r="R19" i="12"/>
  <c r="R14" i="12"/>
  <c r="R23" i="12"/>
  <c r="S31" i="12"/>
  <c r="R17" i="12"/>
  <c r="Q12" i="12"/>
  <c r="J24" i="12"/>
  <c r="M24" i="12" s="1"/>
  <c r="I7" i="12"/>
  <c r="Q7" i="12"/>
  <c r="I12" i="12"/>
  <c r="I3" i="12"/>
  <c r="S26" i="12"/>
  <c r="Q5" i="12"/>
  <c r="M6" i="12"/>
  <c r="M15" i="12"/>
  <c r="K29" i="12"/>
  <c r="J17" i="12"/>
  <c r="J23" i="12"/>
  <c r="L23" i="12" s="1"/>
  <c r="S27" i="12"/>
  <c r="L29" i="12"/>
  <c r="L32" i="12"/>
  <c r="S34" i="12"/>
  <c r="L35" i="12"/>
  <c r="I5" i="12"/>
  <c r="K26" i="12"/>
  <c r="L11" i="12"/>
  <c r="L14" i="12"/>
  <c r="K31" i="12"/>
  <c r="K34" i="12"/>
  <c r="Q4" i="12"/>
  <c r="J22" i="12"/>
  <c r="K28" i="12"/>
  <c r="S30" i="12"/>
  <c r="R18" i="12"/>
  <c r="R24" i="12"/>
  <c r="L10" i="12"/>
  <c r="M2" i="11"/>
  <c r="L2" i="11"/>
  <c r="M5" i="11"/>
  <c r="L5" i="11"/>
  <c r="E32" i="11"/>
  <c r="I7" i="11"/>
  <c r="E7" i="11"/>
  <c r="Q7" i="11" s="1"/>
  <c r="L4" i="11"/>
  <c r="M4" i="11"/>
  <c r="M22" i="11"/>
  <c r="L22" i="11"/>
  <c r="J19" i="11"/>
  <c r="E19" i="11"/>
  <c r="R19" i="11" s="1"/>
  <c r="J18" i="11"/>
  <c r="L18" i="11" s="1"/>
  <c r="E3" i="11"/>
  <c r="Q3" i="11" s="1"/>
  <c r="I6" i="11"/>
  <c r="E12" i="11"/>
  <c r="K27" i="11"/>
  <c r="E29" i="11"/>
  <c r="S29" i="11" s="1"/>
  <c r="L33" i="11"/>
  <c r="L36" i="11"/>
  <c r="J15" i="11"/>
  <c r="I3" i="11"/>
  <c r="E17" i="11"/>
  <c r="R17" i="11" s="1"/>
  <c r="E5" i="11"/>
  <c r="Q5" i="11" s="1"/>
  <c r="G8" i="11"/>
  <c r="R18" i="11"/>
  <c r="K29" i="11"/>
  <c r="E31" i="11"/>
  <c r="S31" i="11" s="1"/>
  <c r="K35" i="11"/>
  <c r="Q6" i="11"/>
  <c r="J17" i="11"/>
  <c r="J23" i="11"/>
  <c r="L23" i="11" s="1"/>
  <c r="S27" i="11"/>
  <c r="E34" i="11"/>
  <c r="S34" i="11" s="1"/>
  <c r="R15" i="11"/>
  <c r="L14" i="11"/>
  <c r="K31" i="11"/>
  <c r="K34" i="11"/>
  <c r="E4" i="11"/>
  <c r="Q4" i="11" s="1"/>
  <c r="G13" i="11"/>
  <c r="E30" i="11"/>
  <c r="S30" i="11" s="1"/>
  <c r="M27" i="6"/>
  <c r="M59" i="6"/>
  <c r="L59" i="6"/>
  <c r="F59" i="6" s="1"/>
  <c r="T59" i="6" s="1"/>
  <c r="M60" i="6"/>
  <c r="O60" i="6" s="1"/>
  <c r="T58" i="6"/>
  <c r="O61" i="6"/>
  <c r="N61" i="6"/>
  <c r="F61" i="6"/>
  <c r="T61" i="6" s="1"/>
  <c r="O58" i="6"/>
  <c r="N58" i="6"/>
  <c r="F58" i="6"/>
  <c r="S58" i="6" s="1"/>
  <c r="O46" i="6"/>
  <c r="N46" i="6"/>
  <c r="F46" i="6"/>
  <c r="S46" i="6" s="1"/>
  <c r="F47" i="6"/>
  <c r="T47" i="6" s="1"/>
  <c r="O47" i="6"/>
  <c r="N47" i="6"/>
  <c r="F48" i="6"/>
  <c r="T48" i="6" s="1"/>
  <c r="O48" i="6"/>
  <c r="N48" i="6"/>
  <c r="O49" i="6"/>
  <c r="N49" i="6"/>
  <c r="F49" i="6"/>
  <c r="S49" i="6" s="1"/>
  <c r="F27" i="6"/>
  <c r="T27" i="6" s="1"/>
  <c r="N27" i="6"/>
  <c r="O27" i="6"/>
  <c r="O28" i="6"/>
  <c r="N28" i="6"/>
  <c r="F28" i="6"/>
  <c r="S28" i="6" s="1"/>
  <c r="S26" i="6"/>
  <c r="O26" i="6"/>
  <c r="N26" i="6"/>
  <c r="F26" i="6"/>
  <c r="T26" i="6" s="1"/>
  <c r="F29" i="6"/>
  <c r="T29" i="6" s="1"/>
  <c r="N29" i="6"/>
  <c r="O29" i="6"/>
  <c r="O14" i="6"/>
  <c r="N14" i="6"/>
  <c r="F14" i="6"/>
  <c r="S14" i="6" s="1"/>
  <c r="F15" i="6"/>
  <c r="T15" i="6" s="1"/>
  <c r="O15" i="6"/>
  <c r="N15" i="6"/>
  <c r="F16" i="6"/>
  <c r="O16" i="6"/>
  <c r="N16" i="6"/>
  <c r="S16" i="6"/>
  <c r="T16" i="6"/>
  <c r="F17" i="6"/>
  <c r="S17" i="6" s="1"/>
  <c r="O17" i="6"/>
  <c r="N17" i="6"/>
  <c r="R70" i="1"/>
  <c r="N70" i="1"/>
  <c r="M70" i="1"/>
  <c r="R71" i="1"/>
  <c r="N71" i="1"/>
  <c r="M71" i="1"/>
  <c r="M72" i="1"/>
  <c r="N72" i="1"/>
  <c r="R72" i="1"/>
  <c r="R73" i="1"/>
  <c r="N73" i="1"/>
  <c r="M73" i="1"/>
  <c r="R59" i="1"/>
  <c r="N59" i="1"/>
  <c r="M59" i="1"/>
  <c r="M60" i="1"/>
  <c r="R60" i="1"/>
  <c r="N60" i="1"/>
  <c r="R61" i="1"/>
  <c r="N61" i="1"/>
  <c r="M61" i="1"/>
  <c r="R49" i="1"/>
  <c r="N49" i="1"/>
  <c r="M49" i="1"/>
  <c r="R50" i="1"/>
  <c r="N50" i="1"/>
  <c r="M50" i="1"/>
  <c r="R51" i="1"/>
  <c r="M51" i="1"/>
  <c r="N51" i="1"/>
  <c r="R52" i="1"/>
  <c r="N52" i="1"/>
  <c r="M52" i="1"/>
  <c r="R11" i="1"/>
  <c r="N11" i="1"/>
  <c r="M11" i="1"/>
  <c r="R13" i="1"/>
  <c r="N13" i="1"/>
  <c r="M13" i="1"/>
  <c r="R14" i="1"/>
  <c r="N14" i="1"/>
  <c r="M14" i="1"/>
  <c r="M12" i="1"/>
  <c r="N12" i="1"/>
  <c r="R21" i="1"/>
  <c r="N21" i="1"/>
  <c r="M21" i="1"/>
  <c r="M22" i="1"/>
  <c r="N22" i="1"/>
  <c r="S22" i="1"/>
  <c r="R23" i="1"/>
  <c r="N23" i="1"/>
  <c r="M23" i="1"/>
  <c r="R32" i="1"/>
  <c r="N32" i="1"/>
  <c r="M32" i="1"/>
  <c r="R33" i="1"/>
  <c r="N33" i="1"/>
  <c r="M33" i="1"/>
  <c r="M34" i="1"/>
  <c r="N34" i="1"/>
  <c r="R34" i="1"/>
  <c r="R35" i="1"/>
  <c r="N35" i="1"/>
  <c r="M35" i="1"/>
  <c r="S33" i="10"/>
  <c r="Q30" i="10"/>
  <c r="S30" i="10"/>
  <c r="R19" i="10"/>
  <c r="K35" i="10"/>
  <c r="M30" i="10"/>
  <c r="K33" i="10"/>
  <c r="J15" i="10"/>
  <c r="L15" i="10" s="1"/>
  <c r="R18" i="10"/>
  <c r="E31" i="10"/>
  <c r="Q31" i="10" s="1"/>
  <c r="R15" i="10"/>
  <c r="E19" i="10"/>
  <c r="E34" i="10"/>
  <c r="Q34" i="10" s="1"/>
  <c r="K37" i="10"/>
  <c r="J16" i="10"/>
  <c r="J19" i="10"/>
  <c r="E29" i="10"/>
  <c r="S29" i="10" s="1"/>
  <c r="K31" i="10"/>
  <c r="M26" i="10"/>
  <c r="K34" i="10"/>
  <c r="K29" i="10"/>
  <c r="E32" i="10"/>
  <c r="S32" i="10" s="1"/>
  <c r="E35" i="10"/>
  <c r="S35" i="10" s="1"/>
  <c r="E3" i="10"/>
  <c r="Q3" i="10" s="1"/>
  <c r="M34" i="10"/>
  <c r="L18" i="10"/>
  <c r="L33" i="10"/>
  <c r="M33" i="10"/>
  <c r="L27" i="10"/>
  <c r="M27" i="10"/>
  <c r="L36" i="10"/>
  <c r="M36" i="10"/>
  <c r="M31" i="10"/>
  <c r="L31" i="10"/>
  <c r="Q35" i="10"/>
  <c r="E26" i="10"/>
  <c r="I29" i="10"/>
  <c r="I32" i="10"/>
  <c r="Q33" i="10"/>
  <c r="I35" i="10"/>
  <c r="Q27" i="10"/>
  <c r="E28" i="10"/>
  <c r="Q28" i="10" s="1"/>
  <c r="L26" i="10"/>
  <c r="Q29" i="10"/>
  <c r="I28" i="10"/>
  <c r="I37" i="10"/>
  <c r="L34" i="10"/>
  <c r="G33" i="10"/>
  <c r="E33" i="10" s="1"/>
  <c r="G36" i="10"/>
  <c r="Q23" i="10"/>
  <c r="Q20" i="10"/>
  <c r="M15" i="10"/>
  <c r="L21" i="10"/>
  <c r="M21" i="10"/>
  <c r="L24" i="10"/>
  <c r="M24" i="10"/>
  <c r="Q16" i="10"/>
  <c r="M22" i="10"/>
  <c r="L22" i="10"/>
  <c r="E14" i="10"/>
  <c r="I17" i="10"/>
  <c r="I20" i="10"/>
  <c r="I23" i="10"/>
  <c r="Q15" i="10"/>
  <c r="I14" i="10"/>
  <c r="E22" i="10"/>
  <c r="I16" i="10"/>
  <c r="I25" i="10"/>
  <c r="I19" i="10"/>
  <c r="E17" i="10"/>
  <c r="E16" i="10"/>
  <c r="R16" i="10" s="1"/>
  <c r="G21" i="10"/>
  <c r="E21" i="10" s="1"/>
  <c r="G24" i="10"/>
  <c r="Q9" i="10"/>
  <c r="M12" i="10"/>
  <c r="L12" i="10"/>
  <c r="E11" i="10"/>
  <c r="Q11" i="10" s="1"/>
  <c r="I11" i="10"/>
  <c r="E13" i="10"/>
  <c r="Q13" i="10" s="1"/>
  <c r="E10" i="10"/>
  <c r="Q10" i="10" s="1"/>
  <c r="I13" i="10"/>
  <c r="I10" i="10"/>
  <c r="E12" i="10"/>
  <c r="Q12" i="10" s="1"/>
  <c r="M8" i="10"/>
  <c r="L8" i="10"/>
  <c r="E7" i="10"/>
  <c r="Q7" i="10" s="1"/>
  <c r="I7" i="10"/>
  <c r="E6" i="10"/>
  <c r="Q6" i="10" s="1"/>
  <c r="I9" i="10"/>
  <c r="I6" i="10"/>
  <c r="E8" i="10"/>
  <c r="Q8" i="10" s="1"/>
  <c r="I4" i="10"/>
  <c r="E4" i="10"/>
  <c r="Q4" i="10" s="1"/>
  <c r="I5" i="10"/>
  <c r="I3" i="10"/>
  <c r="I2" i="10"/>
  <c r="M2" i="10" s="1"/>
  <c r="E4" i="8"/>
  <c r="S4" i="8" s="1"/>
  <c r="E31" i="8"/>
  <c r="S31" i="8"/>
  <c r="S29" i="8"/>
  <c r="O27" i="8"/>
  <c r="E35" i="8"/>
  <c r="U35" i="8" s="1"/>
  <c r="E33" i="8"/>
  <c r="T33" i="8" s="1"/>
  <c r="E32" i="8"/>
  <c r="T32" i="8" s="1"/>
  <c r="N28" i="8"/>
  <c r="E29" i="8"/>
  <c r="E30" i="8"/>
  <c r="S30" i="8" s="1"/>
  <c r="O19" i="8"/>
  <c r="O36" i="8"/>
  <c r="E10" i="8"/>
  <c r="U10" i="8" s="1"/>
  <c r="N37" i="8"/>
  <c r="N36" i="8"/>
  <c r="E36" i="8"/>
  <c r="U36" i="8" s="1"/>
  <c r="O26" i="8"/>
  <c r="E5" i="8"/>
  <c r="T5" i="8" s="1"/>
  <c r="E34" i="8"/>
  <c r="T34" i="8" s="1"/>
  <c r="E37" i="8"/>
  <c r="U37" i="8" s="1"/>
  <c r="N18" i="8"/>
  <c r="N33" i="8"/>
  <c r="O17" i="8"/>
  <c r="E3" i="8"/>
  <c r="S3" i="8" s="1"/>
  <c r="K66" i="9"/>
  <c r="Q42" i="9"/>
  <c r="Q74" i="9"/>
  <c r="Q82" i="9"/>
  <c r="P26" i="9"/>
  <c r="L66" i="9"/>
  <c r="P76" i="9"/>
  <c r="P66" i="9"/>
  <c r="L67" i="9"/>
  <c r="L75" i="9"/>
  <c r="Q75" i="9"/>
  <c r="Q60" i="9"/>
  <c r="L60" i="9"/>
  <c r="K60" i="9"/>
  <c r="Q56" i="9"/>
  <c r="L56" i="9"/>
  <c r="K56" i="9"/>
  <c r="Q62" i="9"/>
  <c r="L62" i="9"/>
  <c r="K62" i="9"/>
  <c r="L69" i="9"/>
  <c r="K71" i="9"/>
  <c r="K68" i="9"/>
  <c r="Q68" i="9"/>
  <c r="L68" i="9"/>
  <c r="L72" i="9"/>
  <c r="Q69" i="9"/>
  <c r="K69" i="9"/>
  <c r="Q73" i="9"/>
  <c r="L73" i="9"/>
  <c r="Q71" i="9"/>
  <c r="L71" i="9"/>
  <c r="Q80" i="9"/>
  <c r="L80" i="9"/>
  <c r="Q58" i="9"/>
  <c r="L58" i="9"/>
  <c r="K58" i="9"/>
  <c r="K80" i="9"/>
  <c r="L77" i="9"/>
  <c r="Q77" i="9"/>
  <c r="Q64" i="9"/>
  <c r="L64" i="9"/>
  <c r="K64" i="9"/>
  <c r="K77" i="9"/>
  <c r="Q78" i="9"/>
  <c r="L78" i="9"/>
  <c r="K78" i="9"/>
  <c r="Q79" i="9"/>
  <c r="K79" i="9"/>
  <c r="K70" i="9"/>
  <c r="L79" i="9"/>
  <c r="L70" i="9"/>
  <c r="K72" i="9"/>
  <c r="K81" i="9"/>
  <c r="L81" i="9"/>
  <c r="K59" i="9"/>
  <c r="K63" i="9"/>
  <c r="L57" i="9"/>
  <c r="L59" i="9"/>
  <c r="L61" i="9"/>
  <c r="L63" i="9"/>
  <c r="K65" i="9"/>
  <c r="P72" i="9"/>
  <c r="K74" i="9"/>
  <c r="K57" i="9"/>
  <c r="K61" i="9"/>
  <c r="L65" i="9"/>
  <c r="L74" i="9"/>
  <c r="K76" i="9"/>
  <c r="K67" i="9"/>
  <c r="K73" i="9"/>
  <c r="K82" i="9"/>
  <c r="L82" i="9"/>
  <c r="K75" i="9"/>
  <c r="P16" i="9"/>
  <c r="Q55" i="9"/>
  <c r="Q45" i="9"/>
  <c r="Q29" i="9"/>
  <c r="Q53" i="9"/>
  <c r="K45" i="9"/>
  <c r="Q37" i="9"/>
  <c r="Q39" i="9"/>
  <c r="Q38" i="9"/>
  <c r="Q51" i="9"/>
  <c r="Q50" i="9"/>
  <c r="Q34" i="9"/>
  <c r="P18" i="9"/>
  <c r="Q48" i="9"/>
  <c r="Q32" i="9"/>
  <c r="K52" i="9"/>
  <c r="K22" i="9"/>
  <c r="P22" i="9"/>
  <c r="L22" i="9"/>
  <c r="K13" i="9"/>
  <c r="L13" i="9"/>
  <c r="P13" i="9"/>
  <c r="P14" i="9"/>
  <c r="L14" i="9"/>
  <c r="K14" i="9"/>
  <c r="K23" i="9"/>
  <c r="P23" i="9"/>
  <c r="L23" i="9"/>
  <c r="L39" i="9"/>
  <c r="K43" i="9"/>
  <c r="K15" i="9"/>
  <c r="K39" i="9"/>
  <c r="P34" i="9"/>
  <c r="L34" i="9"/>
  <c r="K34" i="9"/>
  <c r="P11" i="9"/>
  <c r="L11" i="9"/>
  <c r="K11" i="9"/>
  <c r="P48" i="9"/>
  <c r="L48" i="9"/>
  <c r="K48" i="9"/>
  <c r="P20" i="9"/>
  <c r="L20" i="9"/>
  <c r="K20" i="9"/>
  <c r="P3" i="9"/>
  <c r="L3" i="9"/>
  <c r="K3" i="9"/>
  <c r="P4" i="9"/>
  <c r="L4" i="9"/>
  <c r="K4" i="9"/>
  <c r="K24" i="9"/>
  <c r="L24" i="9"/>
  <c r="P24" i="9"/>
  <c r="P35" i="9"/>
  <c r="L35" i="9"/>
  <c r="K35" i="9"/>
  <c r="P28" i="9"/>
  <c r="L28" i="9"/>
  <c r="K28" i="9"/>
  <c r="L2" i="9"/>
  <c r="K2" i="9"/>
  <c r="P5" i="9"/>
  <c r="L5" i="9"/>
  <c r="K5" i="9"/>
  <c r="P12" i="9"/>
  <c r="L12" i="9"/>
  <c r="K12" i="9"/>
  <c r="P36" i="9"/>
  <c r="L36" i="9"/>
  <c r="K36" i="9"/>
  <c r="P40" i="9"/>
  <c r="L40" i="9"/>
  <c r="K40" i="9"/>
  <c r="P6" i="9"/>
  <c r="L6" i="9"/>
  <c r="K6" i="9"/>
  <c r="P25" i="9"/>
  <c r="K25" i="9"/>
  <c r="L25" i="9"/>
  <c r="P29" i="9"/>
  <c r="L29" i="9"/>
  <c r="K29" i="9"/>
  <c r="P37" i="9"/>
  <c r="L37" i="9"/>
  <c r="K37" i="9"/>
  <c r="P10" i="9"/>
  <c r="L10" i="9"/>
  <c r="K10" i="9"/>
  <c r="P47" i="9"/>
  <c r="L47" i="9"/>
  <c r="K47" i="9"/>
  <c r="P21" i="9"/>
  <c r="L21" i="9"/>
  <c r="K21" i="9"/>
  <c r="P7" i="9"/>
  <c r="L7" i="9"/>
  <c r="K7" i="9"/>
  <c r="P30" i="9"/>
  <c r="L30" i="9"/>
  <c r="K30" i="9"/>
  <c r="L41" i="9"/>
  <c r="P41" i="9"/>
  <c r="K41" i="9"/>
  <c r="P45" i="9"/>
  <c r="L45" i="9"/>
  <c r="K50" i="9"/>
  <c r="P50" i="9"/>
  <c r="L50" i="9"/>
  <c r="P38" i="9"/>
  <c r="L38" i="9"/>
  <c r="K38" i="9"/>
  <c r="P54" i="9"/>
  <c r="L54" i="9"/>
  <c r="K54" i="9"/>
  <c r="P33" i="9"/>
  <c r="L33" i="9"/>
  <c r="K33" i="9"/>
  <c r="P8" i="9"/>
  <c r="L8" i="9"/>
  <c r="K8" i="9"/>
  <c r="P31" i="9"/>
  <c r="L31" i="9"/>
  <c r="K31" i="9"/>
  <c r="P9" i="9"/>
  <c r="L9" i="9"/>
  <c r="K9" i="9"/>
  <c r="P32" i="9"/>
  <c r="L32" i="9"/>
  <c r="K32" i="9"/>
  <c r="P42" i="9"/>
  <c r="L42" i="9"/>
  <c r="K42" i="9"/>
  <c r="P46" i="9"/>
  <c r="L46" i="9"/>
  <c r="K46" i="9"/>
  <c r="P19" i="9"/>
  <c r="L19" i="9"/>
  <c r="K19" i="9"/>
  <c r="P55" i="9"/>
  <c r="L55" i="9"/>
  <c r="L17" i="9"/>
  <c r="L26" i="9"/>
  <c r="L43" i="9"/>
  <c r="L15" i="9"/>
  <c r="K17" i="9"/>
  <c r="K26" i="9"/>
  <c r="Q15" i="9"/>
  <c r="P43" i="9"/>
  <c r="Q52" i="9"/>
  <c r="L52" i="9"/>
  <c r="K49" i="9"/>
  <c r="L49" i="9"/>
  <c r="K51" i="9"/>
  <c r="L51" i="9"/>
  <c r="K44" i="9"/>
  <c r="K53" i="9"/>
  <c r="L16" i="9"/>
  <c r="K18" i="9"/>
  <c r="K27" i="9"/>
  <c r="L44" i="9"/>
  <c r="L18" i="9"/>
  <c r="L27" i="9"/>
  <c r="N17" i="8"/>
  <c r="O29" i="8"/>
  <c r="N29" i="8"/>
  <c r="O33" i="8"/>
  <c r="O31" i="8"/>
  <c r="N31" i="8"/>
  <c r="O30" i="8"/>
  <c r="N30" i="8"/>
  <c r="L32" i="8"/>
  <c r="O32" i="8" s="1"/>
  <c r="N35" i="8"/>
  <c r="O35" i="8"/>
  <c r="L34" i="8"/>
  <c r="O37" i="8"/>
  <c r="E25" i="8"/>
  <c r="T25" i="8" s="1"/>
  <c r="E22" i="8"/>
  <c r="S22" i="8" s="1"/>
  <c r="E26" i="8"/>
  <c r="U26" i="8" s="1"/>
  <c r="E21" i="8"/>
  <c r="S21" i="8" s="1"/>
  <c r="E23" i="8"/>
  <c r="T23" i="8" s="1"/>
  <c r="E27" i="8"/>
  <c r="U27" i="8" s="1"/>
  <c r="N27" i="8"/>
  <c r="N24" i="8"/>
  <c r="O28" i="8"/>
  <c r="O21" i="8"/>
  <c r="N21" i="8"/>
  <c r="O25" i="8"/>
  <c r="O22" i="8"/>
  <c r="N22" i="8"/>
  <c r="O23" i="8"/>
  <c r="O24" i="8"/>
  <c r="N23" i="8"/>
  <c r="N26" i="8"/>
  <c r="E28" i="8"/>
  <c r="U28" i="8" s="1"/>
  <c r="E24" i="8"/>
  <c r="T24" i="8" s="1"/>
  <c r="N25" i="8"/>
  <c r="E12" i="8"/>
  <c r="S12" i="8" s="1"/>
  <c r="E16" i="8"/>
  <c r="T16" i="8" s="1"/>
  <c r="E17" i="8"/>
  <c r="U17" i="8" s="1"/>
  <c r="E15" i="8"/>
  <c r="T15" i="8" s="1"/>
  <c r="E13" i="8"/>
  <c r="S13" i="8" s="1"/>
  <c r="E14" i="8"/>
  <c r="T14" i="8" s="1"/>
  <c r="E18" i="8"/>
  <c r="U18" i="8" s="1"/>
  <c r="E19" i="8"/>
  <c r="U19" i="8" s="1"/>
  <c r="N19" i="8"/>
  <c r="E11" i="8"/>
  <c r="S11" i="8" s="1"/>
  <c r="O16" i="8"/>
  <c r="N12" i="8"/>
  <c r="O12" i="8"/>
  <c r="O14" i="8"/>
  <c r="N15" i="8"/>
  <c r="N16" i="8"/>
  <c r="O13" i="8"/>
  <c r="N13" i="8"/>
  <c r="N14" i="8"/>
  <c r="O11" i="8"/>
  <c r="N11" i="8"/>
  <c r="O18" i="8"/>
  <c r="O15" i="8"/>
  <c r="L5" i="8"/>
  <c r="M9" i="8"/>
  <c r="L6" i="8"/>
  <c r="M10" i="8"/>
  <c r="L7" i="8"/>
  <c r="M8" i="8"/>
  <c r="O9" i="8"/>
  <c r="O10" i="8"/>
  <c r="N10" i="8"/>
  <c r="N9" i="8"/>
  <c r="L8" i="8"/>
  <c r="R2" i="4"/>
  <c r="M2" i="8"/>
  <c r="L2" i="8"/>
  <c r="K3" i="1"/>
  <c r="L3" i="1"/>
  <c r="K4" i="1"/>
  <c r="L4" i="1"/>
  <c r="K5" i="1"/>
  <c r="L5" i="1"/>
  <c r="K6" i="1"/>
  <c r="L6" i="1"/>
  <c r="K7" i="1"/>
  <c r="L7" i="1"/>
  <c r="K8" i="1"/>
  <c r="L8" i="1"/>
  <c r="K9" i="1"/>
  <c r="L9" i="1"/>
  <c r="K10" i="1"/>
  <c r="L10" i="1"/>
  <c r="K15" i="1"/>
  <c r="R15" i="1" s="1"/>
  <c r="L15" i="1"/>
  <c r="K16" i="1"/>
  <c r="R16" i="1" s="1"/>
  <c r="L16" i="1"/>
  <c r="K17" i="1"/>
  <c r="L17" i="1"/>
  <c r="K18" i="1"/>
  <c r="R18" i="1" s="1"/>
  <c r="L18" i="1"/>
  <c r="K19" i="1"/>
  <c r="R19" i="1" s="1"/>
  <c r="L19" i="1"/>
  <c r="K20" i="1"/>
  <c r="R20" i="1" s="1"/>
  <c r="L20" i="1"/>
  <c r="K24" i="1"/>
  <c r="R24" i="1" s="1"/>
  <c r="L24" i="1"/>
  <c r="K25" i="1"/>
  <c r="L25" i="1"/>
  <c r="K26" i="1"/>
  <c r="R26" i="1" s="1"/>
  <c r="L26" i="1"/>
  <c r="K27" i="1"/>
  <c r="R27" i="1" s="1"/>
  <c r="L27" i="1"/>
  <c r="K28" i="1"/>
  <c r="R28" i="1" s="1"/>
  <c r="L28" i="1"/>
  <c r="K29" i="1"/>
  <c r="R29" i="1" s="1"/>
  <c r="L29" i="1"/>
  <c r="K30" i="1"/>
  <c r="R30" i="1" s="1"/>
  <c r="L30" i="1"/>
  <c r="K31" i="1"/>
  <c r="R31" i="1" s="1"/>
  <c r="L31" i="1"/>
  <c r="K36" i="1"/>
  <c r="R36" i="1" s="1"/>
  <c r="L36" i="1"/>
  <c r="K37" i="1"/>
  <c r="L37" i="1"/>
  <c r="K38" i="1"/>
  <c r="R38" i="1" s="1"/>
  <c r="L38" i="1"/>
  <c r="K39" i="1"/>
  <c r="R39" i="1" s="1"/>
  <c r="L39" i="1"/>
  <c r="K40" i="1"/>
  <c r="L40" i="1"/>
  <c r="S40" i="1" s="1"/>
  <c r="K41" i="1"/>
  <c r="L41" i="1"/>
  <c r="S41" i="1" s="1"/>
  <c r="K42" i="1"/>
  <c r="L42" i="1"/>
  <c r="S42" i="1" s="1"/>
  <c r="K43" i="1"/>
  <c r="L43" i="1"/>
  <c r="S43" i="1" s="1"/>
  <c r="K44" i="1"/>
  <c r="L44" i="1"/>
  <c r="K45" i="1"/>
  <c r="L45" i="1"/>
  <c r="K46" i="1"/>
  <c r="L46" i="1"/>
  <c r="S46" i="1" s="1"/>
  <c r="K47" i="1"/>
  <c r="R47" i="1" s="1"/>
  <c r="L47" i="1"/>
  <c r="S47" i="1" s="1"/>
  <c r="K48" i="1"/>
  <c r="L48" i="1"/>
  <c r="S48" i="1" s="1"/>
  <c r="K53" i="1"/>
  <c r="R53" i="1" s="1"/>
  <c r="L53" i="1"/>
  <c r="K54" i="1"/>
  <c r="L54" i="1"/>
  <c r="K55" i="1"/>
  <c r="L55" i="1"/>
  <c r="S55" i="1" s="1"/>
  <c r="K56" i="1"/>
  <c r="R56" i="1" s="1"/>
  <c r="L56" i="1"/>
  <c r="K57" i="1"/>
  <c r="L57" i="1"/>
  <c r="K58" i="1"/>
  <c r="L58" i="1"/>
  <c r="S58" i="1" s="1"/>
  <c r="K62" i="1"/>
  <c r="L62" i="1"/>
  <c r="S62" i="1" s="1"/>
  <c r="K63" i="1"/>
  <c r="L63" i="1"/>
  <c r="S63" i="1" s="1"/>
  <c r="K64" i="1"/>
  <c r="R64" i="1" s="1"/>
  <c r="L64" i="1"/>
  <c r="K65" i="1"/>
  <c r="R65" i="1" s="1"/>
  <c r="L65" i="1"/>
  <c r="K66" i="1"/>
  <c r="L66" i="1"/>
  <c r="S66" i="1" s="1"/>
  <c r="K67" i="1"/>
  <c r="L67" i="1"/>
  <c r="S67" i="1" s="1"/>
  <c r="K68" i="1"/>
  <c r="L68" i="1"/>
  <c r="S68" i="1" s="1"/>
  <c r="K69" i="1"/>
  <c r="R69" i="1" s="1"/>
  <c r="L69" i="1"/>
  <c r="S69" i="1" s="1"/>
  <c r="K74" i="1"/>
  <c r="L74" i="1"/>
  <c r="S74" i="1" s="1"/>
  <c r="K75" i="1"/>
  <c r="R75" i="1" s="1"/>
  <c r="L75" i="1"/>
  <c r="S75" i="1" s="1"/>
  <c r="K76" i="1"/>
  <c r="L76" i="1"/>
  <c r="S76" i="1" s="1"/>
  <c r="K77" i="1"/>
  <c r="L77" i="1"/>
  <c r="S77" i="1" s="1"/>
  <c r="L2" i="1"/>
  <c r="K2" i="1"/>
  <c r="K3" i="4"/>
  <c r="L3" i="4"/>
  <c r="K4" i="4"/>
  <c r="L4" i="4"/>
  <c r="K5" i="4"/>
  <c r="L5" i="4"/>
  <c r="K6" i="4"/>
  <c r="L6" i="4"/>
  <c r="K7" i="4"/>
  <c r="L7" i="4"/>
  <c r="K8" i="4"/>
  <c r="L8" i="4"/>
  <c r="K9" i="4"/>
  <c r="L9" i="4"/>
  <c r="K10" i="4"/>
  <c r="L10" i="4"/>
  <c r="K11" i="4"/>
  <c r="L11" i="4"/>
  <c r="K12" i="4"/>
  <c r="L12" i="4"/>
  <c r="K13" i="4"/>
  <c r="L13" i="4"/>
  <c r="K14" i="4"/>
  <c r="L14" i="4"/>
  <c r="K15" i="4"/>
  <c r="L15" i="4"/>
  <c r="K16" i="4"/>
  <c r="L16" i="4"/>
  <c r="K17" i="4"/>
  <c r="L17" i="4"/>
  <c r="K18" i="4"/>
  <c r="L18" i="4"/>
  <c r="K19" i="4"/>
  <c r="L19" i="4"/>
  <c r="K20" i="4"/>
  <c r="L20" i="4"/>
  <c r="K21" i="4"/>
  <c r="L21" i="4"/>
  <c r="K22" i="4"/>
  <c r="L22" i="4"/>
  <c r="K23" i="4"/>
  <c r="L23" i="4"/>
  <c r="K24" i="4"/>
  <c r="L24" i="4"/>
  <c r="K25" i="4"/>
  <c r="L25" i="4"/>
  <c r="K26" i="4"/>
  <c r="L26" i="4"/>
  <c r="K27" i="4"/>
  <c r="L27" i="4"/>
  <c r="K28" i="4"/>
  <c r="L28" i="4"/>
  <c r="K29" i="4"/>
  <c r="L29" i="4"/>
  <c r="K30" i="4"/>
  <c r="L30" i="4"/>
  <c r="K31" i="4"/>
  <c r="L31" i="4"/>
  <c r="K32" i="4"/>
  <c r="L32" i="4"/>
  <c r="K33" i="4"/>
  <c r="L33" i="4"/>
  <c r="K34" i="4"/>
  <c r="L34" i="4"/>
  <c r="K35" i="4"/>
  <c r="L35" i="4"/>
  <c r="K36" i="4"/>
  <c r="L36" i="4"/>
  <c r="K37" i="4"/>
  <c r="L37" i="4"/>
  <c r="K38" i="4"/>
  <c r="L38" i="4"/>
  <c r="K39" i="4"/>
  <c r="L39" i="4"/>
  <c r="K40" i="4"/>
  <c r="R40" i="4" s="1"/>
  <c r="L40" i="4"/>
  <c r="S40" i="4" s="1"/>
  <c r="K41" i="4"/>
  <c r="L41" i="4"/>
  <c r="K42" i="4"/>
  <c r="L42" i="4"/>
  <c r="K43" i="4"/>
  <c r="L43" i="4"/>
  <c r="S43" i="4" s="1"/>
  <c r="K44" i="4"/>
  <c r="R44" i="4" s="1"/>
  <c r="L44" i="4"/>
  <c r="S44" i="4" s="1"/>
  <c r="K45" i="4"/>
  <c r="L45" i="4"/>
  <c r="K46" i="4"/>
  <c r="L46" i="4"/>
  <c r="K47" i="4"/>
  <c r="L47" i="4"/>
  <c r="K48" i="4"/>
  <c r="L48" i="4"/>
  <c r="S48" i="4" s="1"/>
  <c r="K49" i="4"/>
  <c r="R49" i="4" s="1"/>
  <c r="L49" i="4"/>
  <c r="K50" i="4"/>
  <c r="L50" i="4"/>
  <c r="K51" i="4"/>
  <c r="L51" i="4"/>
  <c r="K52" i="4"/>
  <c r="L52" i="4"/>
  <c r="S52" i="4" s="1"/>
  <c r="K53" i="4"/>
  <c r="L53" i="4"/>
  <c r="K54" i="4"/>
  <c r="L54" i="4"/>
  <c r="K55" i="4"/>
  <c r="L55" i="4"/>
  <c r="L2" i="4"/>
  <c r="K2" i="4"/>
  <c r="L65" i="6"/>
  <c r="M65" i="6"/>
  <c r="L3" i="6"/>
  <c r="M3" i="6"/>
  <c r="L4" i="6"/>
  <c r="M4" i="6"/>
  <c r="L5" i="6"/>
  <c r="M5" i="6"/>
  <c r="L6" i="6"/>
  <c r="M6" i="6"/>
  <c r="L7" i="6"/>
  <c r="M7" i="6"/>
  <c r="L8" i="6"/>
  <c r="M8" i="6"/>
  <c r="L9" i="6"/>
  <c r="M9" i="6"/>
  <c r="L10" i="6"/>
  <c r="M10" i="6"/>
  <c r="L11" i="6"/>
  <c r="M11" i="6"/>
  <c r="L12" i="6"/>
  <c r="M12" i="6"/>
  <c r="L13" i="6"/>
  <c r="M13" i="6"/>
  <c r="L18" i="6"/>
  <c r="N18" i="6" s="1"/>
  <c r="M18" i="6"/>
  <c r="L19" i="6"/>
  <c r="M19" i="6"/>
  <c r="L20" i="6"/>
  <c r="M20" i="6"/>
  <c r="L21" i="6"/>
  <c r="M21" i="6"/>
  <c r="L22" i="6"/>
  <c r="M22" i="6"/>
  <c r="L23" i="6"/>
  <c r="M23" i="6"/>
  <c r="L24" i="6"/>
  <c r="M24" i="6"/>
  <c r="L25" i="6"/>
  <c r="M25" i="6"/>
  <c r="L30" i="6"/>
  <c r="M30" i="6"/>
  <c r="L31" i="6"/>
  <c r="M31" i="6"/>
  <c r="L32" i="6"/>
  <c r="M32" i="6"/>
  <c r="L33" i="6"/>
  <c r="M33" i="6"/>
  <c r="L34" i="6"/>
  <c r="M34" i="6"/>
  <c r="L35" i="6"/>
  <c r="M35" i="6"/>
  <c r="L36" i="6"/>
  <c r="M36" i="6"/>
  <c r="L37" i="6"/>
  <c r="M37" i="6"/>
  <c r="L38" i="6"/>
  <c r="M38" i="6"/>
  <c r="L39" i="6"/>
  <c r="M39" i="6"/>
  <c r="L40" i="6"/>
  <c r="M40" i="6"/>
  <c r="L41" i="6"/>
  <c r="M41" i="6"/>
  <c r="L42" i="6"/>
  <c r="M42" i="6"/>
  <c r="L43" i="6"/>
  <c r="M43" i="6"/>
  <c r="L44" i="6"/>
  <c r="M44" i="6"/>
  <c r="L45" i="6"/>
  <c r="M45" i="6"/>
  <c r="L50" i="6"/>
  <c r="M50" i="6"/>
  <c r="L51" i="6"/>
  <c r="M51" i="6"/>
  <c r="L52" i="6"/>
  <c r="M52" i="6"/>
  <c r="L53" i="6"/>
  <c r="M53" i="6"/>
  <c r="L54" i="6"/>
  <c r="M54" i="6"/>
  <c r="L55" i="6"/>
  <c r="M55" i="6"/>
  <c r="L56" i="6"/>
  <c r="M56" i="6"/>
  <c r="L57" i="6"/>
  <c r="M57" i="6"/>
  <c r="L62" i="6"/>
  <c r="M62" i="6"/>
  <c r="L63" i="6"/>
  <c r="M63" i="6"/>
  <c r="L64" i="6"/>
  <c r="M64" i="6"/>
  <c r="M2" i="6"/>
  <c r="L2" i="6"/>
  <c r="L27" i="7"/>
  <c r="M27" i="7"/>
  <c r="L28" i="7"/>
  <c r="M28" i="7"/>
  <c r="L29" i="7"/>
  <c r="M29" i="7"/>
  <c r="L30" i="7"/>
  <c r="M30" i="7"/>
  <c r="L31" i="7"/>
  <c r="M31" i="7"/>
  <c r="L32" i="7"/>
  <c r="M32" i="7"/>
  <c r="L33" i="7"/>
  <c r="M33" i="7"/>
  <c r="L34" i="7"/>
  <c r="M34" i="7"/>
  <c r="L35" i="7"/>
  <c r="M35" i="7"/>
  <c r="L36" i="7"/>
  <c r="M36" i="7"/>
  <c r="L37" i="7"/>
  <c r="M37" i="7"/>
  <c r="L38" i="7"/>
  <c r="M38" i="7"/>
  <c r="L39" i="7"/>
  <c r="M39" i="7"/>
  <c r="L40" i="7"/>
  <c r="M40" i="7"/>
  <c r="L41" i="7"/>
  <c r="M41" i="7"/>
  <c r="L42" i="7"/>
  <c r="M42" i="7"/>
  <c r="L43" i="7"/>
  <c r="M43" i="7"/>
  <c r="L44" i="7"/>
  <c r="M44" i="7"/>
  <c r="L45" i="7"/>
  <c r="M45" i="7"/>
  <c r="L46" i="7"/>
  <c r="M46" i="7"/>
  <c r="L47" i="7"/>
  <c r="M47" i="7"/>
  <c r="L48" i="7"/>
  <c r="F48" i="7" s="1"/>
  <c r="M48" i="7"/>
  <c r="L49" i="7"/>
  <c r="M49" i="7"/>
  <c r="L2" i="7"/>
  <c r="M2" i="7"/>
  <c r="L3" i="7"/>
  <c r="M3" i="7"/>
  <c r="L4" i="7"/>
  <c r="M4" i="7"/>
  <c r="L5" i="7"/>
  <c r="M5" i="7"/>
  <c r="L6" i="7"/>
  <c r="M6" i="7"/>
  <c r="L7" i="7"/>
  <c r="M7" i="7"/>
  <c r="L8" i="7"/>
  <c r="M8" i="7"/>
  <c r="L9" i="7"/>
  <c r="M9" i="7"/>
  <c r="L10" i="7"/>
  <c r="M10" i="7"/>
  <c r="L11" i="7"/>
  <c r="M11" i="7"/>
  <c r="L12" i="7"/>
  <c r="M12" i="7"/>
  <c r="L13" i="7"/>
  <c r="M13" i="7"/>
  <c r="L14" i="7"/>
  <c r="M14" i="7"/>
  <c r="L15" i="7"/>
  <c r="M15" i="7"/>
  <c r="L16" i="7"/>
  <c r="M16" i="7"/>
  <c r="L17" i="7"/>
  <c r="M17" i="7"/>
  <c r="L18" i="7"/>
  <c r="M18" i="7"/>
  <c r="L19" i="7"/>
  <c r="M19" i="7"/>
  <c r="L20" i="7"/>
  <c r="M20" i="7"/>
  <c r="L21" i="7"/>
  <c r="M21" i="7"/>
  <c r="L22" i="7"/>
  <c r="M22" i="7"/>
  <c r="L23" i="7"/>
  <c r="M23" i="7"/>
  <c r="L24" i="7"/>
  <c r="M24" i="7"/>
  <c r="L25" i="7"/>
  <c r="M25" i="7"/>
  <c r="M26" i="7"/>
  <c r="L26" i="7"/>
  <c r="K49" i="7"/>
  <c r="J49" i="7"/>
  <c r="C49" i="7"/>
  <c r="K48" i="7"/>
  <c r="J48" i="7"/>
  <c r="C48" i="7"/>
  <c r="K47" i="7"/>
  <c r="J47" i="7"/>
  <c r="C47" i="7"/>
  <c r="K46" i="7"/>
  <c r="J46" i="7"/>
  <c r="K45" i="7"/>
  <c r="J45" i="7"/>
  <c r="C45" i="7"/>
  <c r="K44" i="7"/>
  <c r="J44" i="7"/>
  <c r="C44" i="7"/>
  <c r="K43" i="7"/>
  <c r="J43" i="7"/>
  <c r="C43" i="7"/>
  <c r="K42" i="7"/>
  <c r="J42" i="7"/>
  <c r="K41" i="7"/>
  <c r="J41" i="7"/>
  <c r="C41" i="7"/>
  <c r="K40" i="7"/>
  <c r="J40" i="7"/>
  <c r="C40" i="7"/>
  <c r="K39" i="7"/>
  <c r="J39" i="7"/>
  <c r="C39" i="7"/>
  <c r="F38" i="7"/>
  <c r="K38" i="7"/>
  <c r="J38" i="7"/>
  <c r="K37" i="7"/>
  <c r="G37" i="7"/>
  <c r="J37" i="7" s="1"/>
  <c r="G36" i="7"/>
  <c r="K36" i="7" s="1"/>
  <c r="K35" i="7"/>
  <c r="J35" i="7"/>
  <c r="K34" i="7"/>
  <c r="J34" i="7"/>
  <c r="K33" i="7"/>
  <c r="J33" i="7"/>
  <c r="G33" i="7"/>
  <c r="K32" i="7"/>
  <c r="G32" i="7"/>
  <c r="J32" i="7" s="1"/>
  <c r="G31" i="7"/>
  <c r="K31" i="7" s="1"/>
  <c r="K30" i="7"/>
  <c r="G30" i="7"/>
  <c r="J30" i="7" s="1"/>
  <c r="K29" i="7"/>
  <c r="J29" i="7"/>
  <c r="F28" i="7"/>
  <c r="K28" i="7"/>
  <c r="J28" i="7"/>
  <c r="K27" i="7"/>
  <c r="J27" i="7"/>
  <c r="K26" i="7"/>
  <c r="J26" i="7"/>
  <c r="C65" i="6"/>
  <c r="C64" i="6"/>
  <c r="C63" i="6"/>
  <c r="C57" i="6"/>
  <c r="C56" i="6"/>
  <c r="C55" i="6"/>
  <c r="C53" i="6"/>
  <c r="C52" i="6"/>
  <c r="C51" i="6"/>
  <c r="G45" i="6"/>
  <c r="G44" i="6"/>
  <c r="G41" i="6"/>
  <c r="G40" i="6"/>
  <c r="G39" i="6"/>
  <c r="G38" i="6"/>
  <c r="J55" i="4"/>
  <c r="S55" i="4" s="1"/>
  <c r="I55" i="4"/>
  <c r="C55" i="4"/>
  <c r="R54" i="4"/>
  <c r="J54" i="4"/>
  <c r="S54" i="4" s="1"/>
  <c r="I54" i="4"/>
  <c r="C54" i="4"/>
  <c r="S53" i="4"/>
  <c r="R53" i="4"/>
  <c r="J53" i="4"/>
  <c r="I53" i="4"/>
  <c r="C53" i="4"/>
  <c r="J52" i="4"/>
  <c r="I52" i="4"/>
  <c r="C52" i="4"/>
  <c r="J51" i="4"/>
  <c r="S51" i="4" s="1"/>
  <c r="I51" i="4"/>
  <c r="C51" i="4"/>
  <c r="R50" i="4"/>
  <c r="J50" i="4"/>
  <c r="I50" i="4"/>
  <c r="C50" i="4"/>
  <c r="S49" i="4"/>
  <c r="J49" i="4"/>
  <c r="I49" i="4"/>
  <c r="C49" i="4"/>
  <c r="J48" i="4"/>
  <c r="I48" i="4"/>
  <c r="J47" i="4"/>
  <c r="S47" i="4" s="1"/>
  <c r="I47" i="4"/>
  <c r="C47" i="4"/>
  <c r="J46" i="4"/>
  <c r="S46" i="4" s="1"/>
  <c r="I46" i="4"/>
  <c r="C46" i="4"/>
  <c r="R45" i="4"/>
  <c r="J45" i="4"/>
  <c r="S45" i="4" s="1"/>
  <c r="I45" i="4"/>
  <c r="C45" i="4"/>
  <c r="J44" i="4"/>
  <c r="I44" i="4"/>
  <c r="R43" i="4"/>
  <c r="J43" i="4"/>
  <c r="I43" i="4"/>
  <c r="C43" i="4"/>
  <c r="J42" i="4"/>
  <c r="I42" i="4"/>
  <c r="C42" i="4"/>
  <c r="S41" i="4"/>
  <c r="J41" i="4"/>
  <c r="I41" i="4"/>
  <c r="C41" i="4"/>
  <c r="J40" i="4"/>
  <c r="I40" i="4"/>
  <c r="C40" i="4"/>
  <c r="R39" i="4"/>
  <c r="S39" i="4"/>
  <c r="J39" i="4"/>
  <c r="I39" i="4"/>
  <c r="C39" i="4"/>
  <c r="J38" i="4"/>
  <c r="S38" i="4" s="1"/>
  <c r="I38" i="4"/>
  <c r="C38" i="4"/>
  <c r="J37" i="4"/>
  <c r="S37" i="4" s="1"/>
  <c r="I37" i="4"/>
  <c r="J36" i="4"/>
  <c r="I36" i="4"/>
  <c r="J35" i="4"/>
  <c r="I35" i="4"/>
  <c r="J34" i="4"/>
  <c r="I34" i="4"/>
  <c r="J33" i="4"/>
  <c r="S33" i="4" s="1"/>
  <c r="I33" i="4"/>
  <c r="J32" i="4"/>
  <c r="S32" i="4" s="1"/>
  <c r="I32" i="4"/>
  <c r="J31" i="4"/>
  <c r="S31" i="4" s="1"/>
  <c r="I31" i="4"/>
  <c r="J30" i="4"/>
  <c r="S30" i="4" s="1"/>
  <c r="I30" i="4"/>
  <c r="J29" i="4"/>
  <c r="S29" i="4" s="1"/>
  <c r="I29" i="4"/>
  <c r="C77" i="1"/>
  <c r="C76" i="1"/>
  <c r="C75" i="1"/>
  <c r="C74" i="1"/>
  <c r="C69" i="1"/>
  <c r="C68" i="1"/>
  <c r="C67" i="1"/>
  <c r="R66" i="1"/>
  <c r="C65" i="1"/>
  <c r="C64" i="1"/>
  <c r="C63" i="1"/>
  <c r="C58" i="1"/>
  <c r="C57" i="1"/>
  <c r="C56" i="1"/>
  <c r="C55" i="1"/>
  <c r="C54" i="1"/>
  <c r="C53" i="1"/>
  <c r="S28" i="4"/>
  <c r="S21" i="4"/>
  <c r="S13" i="4"/>
  <c r="S5" i="4"/>
  <c r="S4" i="4"/>
  <c r="I2" i="4"/>
  <c r="J2" i="4"/>
  <c r="I3" i="4"/>
  <c r="R3" i="4" s="1"/>
  <c r="J3" i="4"/>
  <c r="S3" i="4" s="1"/>
  <c r="I4" i="4"/>
  <c r="R4" i="4" s="1"/>
  <c r="J4" i="4"/>
  <c r="I5" i="4"/>
  <c r="R5" i="4" s="1"/>
  <c r="J5" i="4"/>
  <c r="I6" i="4"/>
  <c r="R6" i="4" s="1"/>
  <c r="J6" i="4"/>
  <c r="S6" i="4" s="1"/>
  <c r="I7" i="4"/>
  <c r="R7" i="4" s="1"/>
  <c r="J7" i="4"/>
  <c r="S7" i="4" s="1"/>
  <c r="I8" i="4"/>
  <c r="R8" i="4" s="1"/>
  <c r="J8" i="4"/>
  <c r="S8" i="4" s="1"/>
  <c r="I9" i="4"/>
  <c r="R9" i="4" s="1"/>
  <c r="J9" i="4"/>
  <c r="I10" i="4"/>
  <c r="J10" i="4"/>
  <c r="I11" i="4"/>
  <c r="R11" i="4" s="1"/>
  <c r="J11" i="4"/>
  <c r="I12" i="4"/>
  <c r="R12" i="4" s="1"/>
  <c r="J12" i="4"/>
  <c r="I13" i="4"/>
  <c r="R13" i="4" s="1"/>
  <c r="J13" i="4"/>
  <c r="I14" i="4"/>
  <c r="R14" i="4" s="1"/>
  <c r="J14" i="4"/>
  <c r="S14" i="4" s="1"/>
  <c r="I15" i="4"/>
  <c r="R15" i="4" s="1"/>
  <c r="J15" i="4"/>
  <c r="S15" i="4" s="1"/>
  <c r="I16" i="4"/>
  <c r="R16" i="4" s="1"/>
  <c r="J16" i="4"/>
  <c r="S16" i="4" s="1"/>
  <c r="I17" i="4"/>
  <c r="R17" i="4" s="1"/>
  <c r="J17" i="4"/>
  <c r="S17" i="4" s="1"/>
  <c r="I18" i="4"/>
  <c r="J18" i="4"/>
  <c r="I19" i="4"/>
  <c r="R19" i="4" s="1"/>
  <c r="J19" i="4"/>
  <c r="S19" i="4" s="1"/>
  <c r="I20" i="4"/>
  <c r="R20" i="4" s="1"/>
  <c r="J20" i="4"/>
  <c r="I21" i="4"/>
  <c r="R21" i="4" s="1"/>
  <c r="J21" i="4"/>
  <c r="I22" i="4"/>
  <c r="R22" i="4" s="1"/>
  <c r="J22" i="4"/>
  <c r="I23" i="4"/>
  <c r="R23" i="4" s="1"/>
  <c r="J23" i="4"/>
  <c r="I24" i="4"/>
  <c r="R24" i="4" s="1"/>
  <c r="J24" i="4"/>
  <c r="I25" i="4"/>
  <c r="R25" i="4" s="1"/>
  <c r="J25" i="4"/>
  <c r="I26" i="4"/>
  <c r="J26" i="4"/>
  <c r="I27" i="4"/>
  <c r="R27" i="4" s="1"/>
  <c r="J27" i="4"/>
  <c r="I28" i="4"/>
  <c r="R28" i="4" s="1"/>
  <c r="J28" i="4"/>
  <c r="J3" i="7"/>
  <c r="K3" i="7"/>
  <c r="J4" i="7"/>
  <c r="K4" i="7"/>
  <c r="J5" i="7"/>
  <c r="K5" i="7"/>
  <c r="K8" i="7"/>
  <c r="K9" i="7"/>
  <c r="J10" i="7"/>
  <c r="K10" i="7"/>
  <c r="J11" i="7"/>
  <c r="K11" i="7"/>
  <c r="J14" i="7"/>
  <c r="K14" i="7"/>
  <c r="J15" i="7"/>
  <c r="K15" i="7"/>
  <c r="J16" i="7"/>
  <c r="K16" i="7"/>
  <c r="J17" i="7"/>
  <c r="K17" i="7"/>
  <c r="J18" i="7"/>
  <c r="K18" i="7"/>
  <c r="J19" i="7"/>
  <c r="K19" i="7"/>
  <c r="J20" i="7"/>
  <c r="K20" i="7"/>
  <c r="J21" i="7"/>
  <c r="K21" i="7"/>
  <c r="J22" i="7"/>
  <c r="K22" i="7"/>
  <c r="J23" i="7"/>
  <c r="K23" i="7"/>
  <c r="J24" i="7"/>
  <c r="K24" i="7"/>
  <c r="J25" i="7"/>
  <c r="K25" i="7"/>
  <c r="C25" i="7"/>
  <c r="C24" i="7"/>
  <c r="C23" i="7"/>
  <c r="C21" i="7"/>
  <c r="C20" i="7"/>
  <c r="C19" i="7"/>
  <c r="C17" i="7"/>
  <c r="C16" i="7"/>
  <c r="C15" i="7"/>
  <c r="G13" i="7"/>
  <c r="J13" i="7" s="1"/>
  <c r="G12" i="7"/>
  <c r="J12" i="7" s="1"/>
  <c r="G9" i="7"/>
  <c r="J9" i="7" s="1"/>
  <c r="G8" i="7"/>
  <c r="J8" i="7" s="1"/>
  <c r="G7" i="7"/>
  <c r="K7" i="7" s="1"/>
  <c r="G6" i="7"/>
  <c r="J6" i="7" s="1"/>
  <c r="J2" i="7"/>
  <c r="C28" i="4"/>
  <c r="C27" i="4"/>
  <c r="C26" i="4"/>
  <c r="C25" i="4"/>
  <c r="C24" i="4"/>
  <c r="C23" i="4"/>
  <c r="C22" i="4"/>
  <c r="C20" i="4"/>
  <c r="C19" i="4"/>
  <c r="C18" i="4"/>
  <c r="C16" i="4"/>
  <c r="C15" i="4"/>
  <c r="C14" i="4"/>
  <c r="C13" i="4"/>
  <c r="C12" i="4"/>
  <c r="C11" i="4"/>
  <c r="K2" i="7"/>
  <c r="G13" i="6"/>
  <c r="G12" i="6"/>
  <c r="G9" i="6"/>
  <c r="G8" i="6"/>
  <c r="G7" i="6"/>
  <c r="G6" i="6"/>
  <c r="C33" i="6"/>
  <c r="C32" i="6"/>
  <c r="C31" i="6"/>
  <c r="C25" i="6"/>
  <c r="C24" i="6"/>
  <c r="C23" i="6"/>
  <c r="C21" i="6"/>
  <c r="C20" i="6"/>
  <c r="C19" i="6"/>
  <c r="C36" i="1"/>
  <c r="C39" i="1"/>
  <c r="C38" i="1"/>
  <c r="C37" i="1"/>
  <c r="C31" i="1"/>
  <c r="C30" i="1"/>
  <c r="C29" i="1"/>
  <c r="C27" i="1"/>
  <c r="C26" i="1"/>
  <c r="C25" i="1"/>
  <c r="C18" i="1"/>
  <c r="C19" i="1"/>
  <c r="C20" i="1"/>
  <c r="C17" i="1"/>
  <c r="R17" i="1"/>
  <c r="C16" i="1"/>
  <c r="C15" i="1"/>
  <c r="M18" i="11" l="1"/>
  <c r="L16" i="12"/>
  <c r="E35" i="11"/>
  <c r="S35" i="11" s="1"/>
  <c r="S36" i="11"/>
  <c r="K36" i="11"/>
  <c r="G25" i="11"/>
  <c r="E25" i="11" s="1"/>
  <c r="L16" i="11"/>
  <c r="L11" i="11"/>
  <c r="L10" i="11"/>
  <c r="M10" i="11"/>
  <c r="M5" i="12"/>
  <c r="L5" i="12"/>
  <c r="M3" i="12"/>
  <c r="L3" i="12"/>
  <c r="M23" i="12"/>
  <c r="K35" i="12"/>
  <c r="S32" i="12"/>
  <c r="K32" i="12"/>
  <c r="M22" i="12"/>
  <c r="L22" i="12"/>
  <c r="M12" i="12"/>
  <c r="L12" i="12"/>
  <c r="M17" i="12"/>
  <c r="L17" i="12"/>
  <c r="M19" i="12"/>
  <c r="L19" i="12"/>
  <c r="L24" i="12"/>
  <c r="S35" i="12"/>
  <c r="M7" i="12"/>
  <c r="L7" i="12"/>
  <c r="E13" i="11"/>
  <c r="M6" i="11"/>
  <c r="L6" i="11"/>
  <c r="G9" i="11"/>
  <c r="E8" i="11"/>
  <c r="M19" i="11"/>
  <c r="L19" i="11"/>
  <c r="M23" i="11"/>
  <c r="E37" i="11"/>
  <c r="M3" i="11"/>
  <c r="L3" i="11"/>
  <c r="S32" i="11"/>
  <c r="K32" i="11"/>
  <c r="M17" i="11"/>
  <c r="L17" i="11"/>
  <c r="E33" i="11"/>
  <c r="M15" i="11"/>
  <c r="L15" i="11"/>
  <c r="L7" i="11"/>
  <c r="M7" i="11"/>
  <c r="Q12" i="11"/>
  <c r="I12" i="11"/>
  <c r="F60" i="6"/>
  <c r="T60" i="6" s="1"/>
  <c r="N60" i="6"/>
  <c r="N59" i="6"/>
  <c r="O59" i="6"/>
  <c r="S48" i="6"/>
  <c r="S61" i="6"/>
  <c r="S59" i="6"/>
  <c r="T49" i="6"/>
  <c r="S47" i="6"/>
  <c r="T46" i="6"/>
  <c r="T28" i="6"/>
  <c r="N11" i="6"/>
  <c r="N3" i="6"/>
  <c r="S29" i="6"/>
  <c r="S27" i="6"/>
  <c r="N24" i="6"/>
  <c r="N4" i="6"/>
  <c r="S15" i="6"/>
  <c r="N25" i="6"/>
  <c r="N19" i="6"/>
  <c r="N5" i="6"/>
  <c r="T14" i="6"/>
  <c r="N31" i="6"/>
  <c r="T17" i="6"/>
  <c r="N75" i="1"/>
  <c r="N66" i="1"/>
  <c r="N55" i="1"/>
  <c r="M66" i="1"/>
  <c r="R55" i="1"/>
  <c r="N30" i="6"/>
  <c r="N2" i="1"/>
  <c r="N54" i="1"/>
  <c r="M75" i="1"/>
  <c r="Q17" i="10"/>
  <c r="R17" i="10"/>
  <c r="Q26" i="10"/>
  <c r="S26" i="10"/>
  <c r="Q22" i="10"/>
  <c r="R22" i="10"/>
  <c r="S34" i="10"/>
  <c r="S28" i="10"/>
  <c r="Q21" i="10"/>
  <c r="R21" i="10"/>
  <c r="Q14" i="10"/>
  <c r="R14" i="10"/>
  <c r="S31" i="10"/>
  <c r="M29" i="10"/>
  <c r="L29" i="10"/>
  <c r="M32" i="10"/>
  <c r="L32" i="10"/>
  <c r="E36" i="10"/>
  <c r="G37" i="10"/>
  <c r="E37" i="10" s="1"/>
  <c r="M37" i="10"/>
  <c r="L37" i="10"/>
  <c r="M28" i="10"/>
  <c r="L28" i="10"/>
  <c r="M35" i="10"/>
  <c r="L35" i="10"/>
  <c r="E24" i="10"/>
  <c r="G25" i="10"/>
  <c r="E25" i="10" s="1"/>
  <c r="M19" i="10"/>
  <c r="L19" i="10"/>
  <c r="M17" i="10"/>
  <c r="L17" i="10"/>
  <c r="M25" i="10"/>
  <c r="L25" i="10"/>
  <c r="M16" i="10"/>
  <c r="L16" i="10"/>
  <c r="L14" i="10"/>
  <c r="M14" i="10"/>
  <c r="M23" i="10"/>
  <c r="L23" i="10"/>
  <c r="M20" i="10"/>
  <c r="L20" i="10"/>
  <c r="M10" i="10"/>
  <c r="L10" i="10"/>
  <c r="M13" i="10"/>
  <c r="L13" i="10"/>
  <c r="M11" i="10"/>
  <c r="L11" i="10"/>
  <c r="M6" i="10"/>
  <c r="L6" i="10"/>
  <c r="M9" i="10"/>
  <c r="L9" i="10"/>
  <c r="M7" i="10"/>
  <c r="L7" i="10"/>
  <c r="L5" i="10"/>
  <c r="M5" i="10"/>
  <c r="L3" i="10"/>
  <c r="M3" i="10"/>
  <c r="M4" i="10"/>
  <c r="L4" i="10"/>
  <c r="L2" i="10"/>
  <c r="O7" i="8"/>
  <c r="N7" i="8"/>
  <c r="O6" i="8"/>
  <c r="N6" i="8"/>
  <c r="K16" i="9"/>
  <c r="L53" i="9"/>
  <c r="K55" i="9"/>
  <c r="O34" i="8"/>
  <c r="N34" i="8"/>
  <c r="N32" i="8"/>
  <c r="O20" i="8"/>
  <c r="N20" i="8"/>
  <c r="N8" i="8"/>
  <c r="O8" i="8"/>
  <c r="O5" i="8"/>
  <c r="N5" i="8"/>
  <c r="N3" i="8"/>
  <c r="O3" i="8"/>
  <c r="S44" i="1"/>
  <c r="S45" i="1"/>
  <c r="R37" i="1"/>
  <c r="S57" i="1"/>
  <c r="R25" i="1"/>
  <c r="S56" i="1"/>
  <c r="N67" i="1"/>
  <c r="S34" i="4"/>
  <c r="S18" i="4"/>
  <c r="S35" i="4"/>
  <c r="R26" i="4"/>
  <c r="R18" i="4"/>
  <c r="R10" i="4"/>
  <c r="S36" i="4"/>
  <c r="S42" i="4"/>
  <c r="N22" i="6"/>
  <c r="N20" i="6"/>
  <c r="N10" i="6"/>
  <c r="F33" i="7"/>
  <c r="T33" i="7" s="1"/>
  <c r="O33" i="7"/>
  <c r="N33" i="7"/>
  <c r="O49" i="7"/>
  <c r="N49" i="7"/>
  <c r="F49" i="7"/>
  <c r="S49" i="7" s="1"/>
  <c r="F40" i="7"/>
  <c r="T40" i="7" s="1"/>
  <c r="O40" i="7"/>
  <c r="N40" i="7"/>
  <c r="O45" i="7"/>
  <c r="N45" i="7"/>
  <c r="F45" i="7"/>
  <c r="T45" i="7" s="1"/>
  <c r="N28" i="7"/>
  <c r="T28" i="7"/>
  <c r="F35" i="7"/>
  <c r="T35" i="7" s="1"/>
  <c r="S35" i="7"/>
  <c r="O35" i="7"/>
  <c r="N35" i="7"/>
  <c r="O41" i="7"/>
  <c r="N41" i="7"/>
  <c r="F41" i="7"/>
  <c r="S41" i="7" s="1"/>
  <c r="T41" i="7"/>
  <c r="O46" i="7"/>
  <c r="N46" i="7"/>
  <c r="F46" i="7"/>
  <c r="S46" i="7" s="1"/>
  <c r="F29" i="7"/>
  <c r="T29" i="7" s="1"/>
  <c r="S30" i="7"/>
  <c r="O30" i="7"/>
  <c r="N30" i="7"/>
  <c r="O37" i="7"/>
  <c r="N37" i="7"/>
  <c r="F37" i="7"/>
  <c r="T37" i="7" s="1"/>
  <c r="O42" i="7"/>
  <c r="O47" i="7"/>
  <c r="N47" i="7"/>
  <c r="F47" i="7"/>
  <c r="S47" i="7" s="1"/>
  <c r="T47" i="7"/>
  <c r="N38" i="7"/>
  <c r="T38" i="7"/>
  <c r="F43" i="7"/>
  <c r="T43" i="7" s="1"/>
  <c r="O43" i="7"/>
  <c r="N43" i="7"/>
  <c r="S32" i="7"/>
  <c r="O32" i="7"/>
  <c r="N32" i="7"/>
  <c r="F32" i="7"/>
  <c r="O26" i="7"/>
  <c r="N26" i="7"/>
  <c r="F26" i="7"/>
  <c r="T26" i="7" s="1"/>
  <c r="T32" i="7"/>
  <c r="T48" i="7"/>
  <c r="O27" i="7"/>
  <c r="N27" i="7"/>
  <c r="O28" i="7"/>
  <c r="O38" i="7"/>
  <c r="F27" i="7"/>
  <c r="S27" i="7" s="1"/>
  <c r="S28" i="7"/>
  <c r="S38" i="7"/>
  <c r="F42" i="7"/>
  <c r="S42" i="7" s="1"/>
  <c r="N48" i="7"/>
  <c r="O48" i="7"/>
  <c r="S48" i="7"/>
  <c r="F34" i="7"/>
  <c r="S34" i="7" s="1"/>
  <c r="F39" i="7"/>
  <c r="S39" i="7" s="1"/>
  <c r="F44" i="7"/>
  <c r="S44" i="7" s="1"/>
  <c r="F36" i="7"/>
  <c r="T36" i="7" s="1"/>
  <c r="N42" i="7"/>
  <c r="N29" i="7"/>
  <c r="J31" i="7"/>
  <c r="J36" i="7"/>
  <c r="O29" i="7"/>
  <c r="N34" i="7"/>
  <c r="N39" i="7"/>
  <c r="O34" i="7"/>
  <c r="O39" i="7"/>
  <c r="N44" i="7"/>
  <c r="O44" i="7"/>
  <c r="F30" i="7"/>
  <c r="T30" i="7" s="1"/>
  <c r="F50" i="6"/>
  <c r="S50" i="6" s="1"/>
  <c r="O35" i="6"/>
  <c r="N35" i="6"/>
  <c r="F35" i="6"/>
  <c r="T35" i="6" s="1"/>
  <c r="F52" i="6"/>
  <c r="S52" i="6" s="1"/>
  <c r="O52" i="6"/>
  <c r="N52" i="6"/>
  <c r="F57" i="6"/>
  <c r="T57" i="6" s="1"/>
  <c r="O57" i="6"/>
  <c r="N57" i="6"/>
  <c r="N36" i="6"/>
  <c r="O54" i="6"/>
  <c r="F54" i="6"/>
  <c r="T54" i="6" s="1"/>
  <c r="O63" i="6"/>
  <c r="N63" i="6"/>
  <c r="F63" i="6"/>
  <c r="T63" i="6" s="1"/>
  <c r="O53" i="6"/>
  <c r="N53" i="6"/>
  <c r="F53" i="6"/>
  <c r="S53" i="6" s="1"/>
  <c r="F36" i="6"/>
  <c r="S36" i="6" s="1"/>
  <c r="O38" i="6"/>
  <c r="N38" i="6"/>
  <c r="O62" i="6"/>
  <c r="N62" i="6"/>
  <c r="F62" i="6"/>
  <c r="S62" i="6" s="1"/>
  <c r="F43" i="6"/>
  <c r="S43" i="6" s="1"/>
  <c r="O43" i="6"/>
  <c r="F37" i="6"/>
  <c r="T37" i="6" s="1"/>
  <c r="N50" i="6"/>
  <c r="F55" i="6"/>
  <c r="T55" i="6" s="1"/>
  <c r="O55" i="6"/>
  <c r="N55" i="6"/>
  <c r="F64" i="6"/>
  <c r="T64" i="6" s="1"/>
  <c r="O34" i="6"/>
  <c r="N34" i="6"/>
  <c r="F34" i="6"/>
  <c r="S34" i="6" s="1"/>
  <c r="F41" i="6"/>
  <c r="S41" i="6" s="1"/>
  <c r="O41" i="6"/>
  <c r="N41" i="6"/>
  <c r="O65" i="6"/>
  <c r="N65" i="6"/>
  <c r="F65" i="6"/>
  <c r="T65" i="6" s="1"/>
  <c r="N56" i="6"/>
  <c r="O36" i="6"/>
  <c r="O50" i="6"/>
  <c r="N64" i="6"/>
  <c r="F40" i="6"/>
  <c r="T40" i="6" s="1"/>
  <c r="N43" i="6"/>
  <c r="O64" i="6"/>
  <c r="F42" i="6"/>
  <c r="T42" i="6" s="1"/>
  <c r="F51" i="6"/>
  <c r="T51" i="6" s="1"/>
  <c r="F56" i="6"/>
  <c r="S56" i="6" s="1"/>
  <c r="N54" i="6"/>
  <c r="N37" i="6"/>
  <c r="O37" i="6"/>
  <c r="N42" i="6"/>
  <c r="N51" i="6"/>
  <c r="O42" i="6"/>
  <c r="O51" i="6"/>
  <c r="O56" i="6"/>
  <c r="F38" i="6"/>
  <c r="T38" i="6" s="1"/>
  <c r="M39" i="4"/>
  <c r="N39" i="4"/>
  <c r="R29" i="4"/>
  <c r="N29" i="4"/>
  <c r="M29" i="4"/>
  <c r="R37" i="4"/>
  <c r="N37" i="4"/>
  <c r="M37" i="4"/>
  <c r="R36" i="4"/>
  <c r="N36" i="4"/>
  <c r="M36" i="4"/>
  <c r="R30" i="4"/>
  <c r="N30" i="4"/>
  <c r="M30" i="4"/>
  <c r="M41" i="4"/>
  <c r="N41" i="4"/>
  <c r="R41" i="4"/>
  <c r="R32" i="4"/>
  <c r="N32" i="4"/>
  <c r="M32" i="4"/>
  <c r="R42" i="4"/>
  <c r="N42" i="4"/>
  <c r="M42" i="4"/>
  <c r="R46" i="4"/>
  <c r="N46" i="4"/>
  <c r="M46" i="4"/>
  <c r="N50" i="4"/>
  <c r="S50" i="4"/>
  <c r="M52" i="4"/>
  <c r="R52" i="4"/>
  <c r="N52" i="4"/>
  <c r="R38" i="4"/>
  <c r="N38" i="4"/>
  <c r="M38" i="4"/>
  <c r="R33" i="4"/>
  <c r="N33" i="4"/>
  <c r="M33" i="4"/>
  <c r="M50" i="4"/>
  <c r="R31" i="4"/>
  <c r="N31" i="4"/>
  <c r="M31" i="4"/>
  <c r="R34" i="4"/>
  <c r="N34" i="4"/>
  <c r="M34" i="4"/>
  <c r="R47" i="4"/>
  <c r="N47" i="4"/>
  <c r="M47" i="4"/>
  <c r="R51" i="4"/>
  <c r="N51" i="4"/>
  <c r="M51" i="4"/>
  <c r="R55" i="4"/>
  <c r="N55" i="4"/>
  <c r="M55" i="4"/>
  <c r="R35" i="4"/>
  <c r="N35" i="4"/>
  <c r="M35" i="4"/>
  <c r="R48" i="4"/>
  <c r="N48" i="4"/>
  <c r="M48" i="4"/>
  <c r="M43" i="4"/>
  <c r="N43" i="4"/>
  <c r="M45" i="4"/>
  <c r="M54" i="4"/>
  <c r="N45" i="4"/>
  <c r="N54" i="4"/>
  <c r="M49" i="4"/>
  <c r="M40" i="4"/>
  <c r="N49" i="4"/>
  <c r="N40" i="4"/>
  <c r="M44" i="4"/>
  <c r="M53" i="4"/>
  <c r="N44" i="4"/>
  <c r="N53" i="4"/>
  <c r="M67" i="1"/>
  <c r="R67" i="1"/>
  <c r="M54" i="1"/>
  <c r="M68" i="1"/>
  <c r="M42" i="1"/>
  <c r="N42" i="1"/>
  <c r="R42" i="1"/>
  <c r="R43" i="1"/>
  <c r="N43" i="1"/>
  <c r="M43" i="1"/>
  <c r="N64" i="1"/>
  <c r="M64" i="1"/>
  <c r="S64" i="1"/>
  <c r="R57" i="1"/>
  <c r="N57" i="1"/>
  <c r="M57" i="1"/>
  <c r="S53" i="1"/>
  <c r="N53" i="1"/>
  <c r="M53" i="1"/>
  <c r="R74" i="1"/>
  <c r="N74" i="1"/>
  <c r="M74" i="1"/>
  <c r="M44" i="1"/>
  <c r="N44" i="1"/>
  <c r="R44" i="1"/>
  <c r="R45" i="1"/>
  <c r="N45" i="1"/>
  <c r="M45" i="1"/>
  <c r="M46" i="1"/>
  <c r="R46" i="1"/>
  <c r="N46" i="1"/>
  <c r="S65" i="1"/>
  <c r="N65" i="1"/>
  <c r="M65" i="1"/>
  <c r="M40" i="1"/>
  <c r="N40" i="1"/>
  <c r="R40" i="1"/>
  <c r="N47" i="1"/>
  <c r="R76" i="1"/>
  <c r="N76" i="1"/>
  <c r="M76" i="1"/>
  <c r="R77" i="1"/>
  <c r="N77" i="1"/>
  <c r="M77" i="1"/>
  <c r="R58" i="1"/>
  <c r="N58" i="1"/>
  <c r="M58" i="1"/>
  <c r="R62" i="1"/>
  <c r="N62" i="1"/>
  <c r="M62" i="1"/>
  <c r="R41" i="1"/>
  <c r="N41" i="1"/>
  <c r="M41" i="1"/>
  <c r="M48" i="1"/>
  <c r="R48" i="1"/>
  <c r="N48" i="1"/>
  <c r="R63" i="1"/>
  <c r="N63" i="1"/>
  <c r="M63" i="1"/>
  <c r="R54" i="1"/>
  <c r="M56" i="1"/>
  <c r="N68" i="1"/>
  <c r="S54" i="1"/>
  <c r="N56" i="1"/>
  <c r="R68" i="1"/>
  <c r="M47" i="1"/>
  <c r="M55" i="1"/>
  <c r="M69" i="1"/>
  <c r="N69" i="1"/>
  <c r="F2" i="7"/>
  <c r="S2" i="7" s="1"/>
  <c r="J7" i="7"/>
  <c r="O7" i="7" s="1"/>
  <c r="K6" i="7"/>
  <c r="F6" i="7" s="1"/>
  <c r="S6" i="7" s="1"/>
  <c r="K13" i="7"/>
  <c r="N13" i="7" s="1"/>
  <c r="K12" i="7"/>
  <c r="N12" i="7" s="1"/>
  <c r="N33" i="6"/>
  <c r="N32" i="6"/>
  <c r="N21" i="6"/>
  <c r="N23" i="6"/>
  <c r="F20" i="7"/>
  <c r="S20" i="7" s="1"/>
  <c r="N20" i="7"/>
  <c r="O20" i="7"/>
  <c r="N4" i="7"/>
  <c r="O4" i="7"/>
  <c r="F4" i="7"/>
  <c r="N19" i="7"/>
  <c r="O19" i="7"/>
  <c r="F19" i="7"/>
  <c r="S19" i="7" s="1"/>
  <c r="F11" i="7"/>
  <c r="S11" i="7" s="1"/>
  <c r="N11" i="7"/>
  <c r="O11" i="7"/>
  <c r="F3" i="7"/>
  <c r="S3" i="7" s="1"/>
  <c r="N3" i="7"/>
  <c r="O3" i="7"/>
  <c r="F18" i="7"/>
  <c r="S18" i="7" s="1"/>
  <c r="N18" i="7"/>
  <c r="O18" i="7"/>
  <c r="F10" i="7"/>
  <c r="N10" i="7"/>
  <c r="O10" i="7"/>
  <c r="N25" i="7"/>
  <c r="O25" i="7"/>
  <c r="F25" i="7"/>
  <c r="N24" i="7"/>
  <c r="O24" i="7"/>
  <c r="F24" i="7"/>
  <c r="S24" i="7" s="1"/>
  <c r="N8" i="7"/>
  <c r="O8" i="7"/>
  <c r="F8" i="7"/>
  <c r="N17" i="7"/>
  <c r="O17" i="7"/>
  <c r="F17" i="7"/>
  <c r="S17" i="7" s="1"/>
  <c r="N9" i="7"/>
  <c r="O9" i="7"/>
  <c r="F16" i="7"/>
  <c r="N16" i="7"/>
  <c r="O16" i="7"/>
  <c r="N23" i="7"/>
  <c r="O23" i="7"/>
  <c r="F23" i="7"/>
  <c r="N15" i="7"/>
  <c r="O15" i="7"/>
  <c r="F15" i="7"/>
  <c r="N22" i="7"/>
  <c r="F22" i="7"/>
  <c r="S22" i="7" s="1"/>
  <c r="O22" i="7"/>
  <c r="F14" i="7"/>
  <c r="S14" i="7" s="1"/>
  <c r="N14" i="7"/>
  <c r="O14" i="7"/>
  <c r="N21" i="7"/>
  <c r="O21" i="7"/>
  <c r="F21" i="7"/>
  <c r="S21" i="7" s="1"/>
  <c r="N5" i="7"/>
  <c r="O5" i="7"/>
  <c r="F5" i="7"/>
  <c r="F9" i="7"/>
  <c r="N12" i="6"/>
  <c r="S39" i="1"/>
  <c r="S18" i="1"/>
  <c r="S15" i="1"/>
  <c r="N15" i="1"/>
  <c r="S28" i="1"/>
  <c r="S25" i="1"/>
  <c r="S26" i="1"/>
  <c r="S31" i="1"/>
  <c r="S17" i="1"/>
  <c r="S37" i="1"/>
  <c r="S16" i="1"/>
  <c r="S19" i="1"/>
  <c r="S27" i="1"/>
  <c r="S20" i="1"/>
  <c r="S38" i="1"/>
  <c r="S29" i="1"/>
  <c r="N8" i="6"/>
  <c r="N9" i="6"/>
  <c r="N7" i="6"/>
  <c r="N6" i="6"/>
  <c r="N13" i="6"/>
  <c r="S26" i="4"/>
  <c r="S20" i="4"/>
  <c r="S12" i="4"/>
  <c r="N25" i="4"/>
  <c r="S24" i="4"/>
  <c r="S9" i="4"/>
  <c r="S23" i="4"/>
  <c r="S10" i="4"/>
  <c r="S27" i="4"/>
  <c r="S2" i="4"/>
  <c r="S30" i="1"/>
  <c r="S24" i="1"/>
  <c r="S36" i="1"/>
  <c r="M19" i="4"/>
  <c r="M22" i="4"/>
  <c r="N20" i="4"/>
  <c r="M20" i="4"/>
  <c r="N21" i="4"/>
  <c r="M21" i="4"/>
  <c r="N17" i="4"/>
  <c r="M17" i="4"/>
  <c r="N26" i="4"/>
  <c r="M26" i="4"/>
  <c r="N28" i="4"/>
  <c r="M28" i="4"/>
  <c r="N22" i="4"/>
  <c r="S22" i="4"/>
  <c r="N18" i="4"/>
  <c r="M18" i="4"/>
  <c r="M27" i="4"/>
  <c r="N27" i="4"/>
  <c r="N19" i="4"/>
  <c r="N36" i="1"/>
  <c r="M36" i="1"/>
  <c r="N28" i="1"/>
  <c r="M28" i="1"/>
  <c r="N6" i="4"/>
  <c r="M6" i="4"/>
  <c r="N7" i="4"/>
  <c r="M7" i="4"/>
  <c r="N13" i="4"/>
  <c r="M13" i="4"/>
  <c r="N8" i="4"/>
  <c r="M8" i="4"/>
  <c r="N16" i="4"/>
  <c r="M16" i="4"/>
  <c r="M5" i="4"/>
  <c r="N5" i="4"/>
  <c r="N15" i="4"/>
  <c r="M15" i="4"/>
  <c r="N2" i="4"/>
  <c r="M2" i="4"/>
  <c r="N9" i="4"/>
  <c r="M9" i="4"/>
  <c r="M12" i="4"/>
  <c r="N12" i="4"/>
  <c r="N14" i="4"/>
  <c r="M14" i="4"/>
  <c r="N3" i="4"/>
  <c r="M3" i="4"/>
  <c r="N10" i="4"/>
  <c r="M10" i="4"/>
  <c r="S11" i="4"/>
  <c r="N11" i="4"/>
  <c r="M4" i="4"/>
  <c r="M11" i="4"/>
  <c r="N4" i="4"/>
  <c r="N39" i="1"/>
  <c r="N38" i="1"/>
  <c r="M38" i="1"/>
  <c r="N37" i="1"/>
  <c r="M37" i="1"/>
  <c r="M24" i="1"/>
  <c r="N24" i="1"/>
  <c r="N26" i="1"/>
  <c r="M26" i="1"/>
  <c r="N30" i="1"/>
  <c r="M30" i="1"/>
  <c r="M27" i="1"/>
  <c r="N27" i="1"/>
  <c r="M25" i="1"/>
  <c r="N25" i="1"/>
  <c r="N29" i="1"/>
  <c r="M29" i="1"/>
  <c r="M20" i="1"/>
  <c r="N20" i="1"/>
  <c r="M19" i="1"/>
  <c r="M18" i="1"/>
  <c r="N18" i="1"/>
  <c r="M17" i="1"/>
  <c r="N17" i="1"/>
  <c r="N16" i="1"/>
  <c r="M16" i="1"/>
  <c r="M15" i="1"/>
  <c r="R3" i="1"/>
  <c r="R4" i="1"/>
  <c r="R5" i="1"/>
  <c r="R6" i="1"/>
  <c r="R7" i="1"/>
  <c r="R8" i="1"/>
  <c r="R9" i="1"/>
  <c r="R10" i="1"/>
  <c r="R2" i="1"/>
  <c r="E24" i="11" l="1"/>
  <c r="R24" i="11" s="1"/>
  <c r="J24" i="11"/>
  <c r="I8" i="12"/>
  <c r="K33" i="12"/>
  <c r="S33" i="12"/>
  <c r="K36" i="12"/>
  <c r="S36" i="12"/>
  <c r="J25" i="12"/>
  <c r="R25" i="12"/>
  <c r="I13" i="12"/>
  <c r="Q13" i="12"/>
  <c r="R20" i="12"/>
  <c r="J20" i="12"/>
  <c r="Q8" i="12"/>
  <c r="J20" i="11"/>
  <c r="M12" i="11"/>
  <c r="L12" i="11"/>
  <c r="K37" i="11"/>
  <c r="S37" i="11"/>
  <c r="J25" i="11"/>
  <c r="R25" i="11"/>
  <c r="S33" i="11"/>
  <c r="K33" i="11"/>
  <c r="Q8" i="11"/>
  <c r="I8" i="11"/>
  <c r="E21" i="11"/>
  <c r="E20" i="11"/>
  <c r="R20" i="11" s="1"/>
  <c r="I13" i="11"/>
  <c r="Q13" i="11"/>
  <c r="S60" i="6"/>
  <c r="S55" i="6"/>
  <c r="T62" i="6"/>
  <c r="T50" i="6"/>
  <c r="S51" i="6"/>
  <c r="T52" i="6"/>
  <c r="Q25" i="10"/>
  <c r="R25" i="10"/>
  <c r="Q24" i="10"/>
  <c r="R24" i="10"/>
  <c r="Q37" i="10"/>
  <c r="S37" i="10"/>
  <c r="Q36" i="10"/>
  <c r="S36" i="10"/>
  <c r="N2" i="8"/>
  <c r="O2" i="8"/>
  <c r="S35" i="6"/>
  <c r="T56" i="6"/>
  <c r="T43" i="6"/>
  <c r="S64" i="6"/>
  <c r="S40" i="7"/>
  <c r="T42" i="7"/>
  <c r="S33" i="7"/>
  <c r="T10" i="7"/>
  <c r="S10" i="7"/>
  <c r="T8" i="7"/>
  <c r="S8" i="7"/>
  <c r="T15" i="7"/>
  <c r="S15" i="7"/>
  <c r="T9" i="7"/>
  <c r="S9" i="7"/>
  <c r="T23" i="7"/>
  <c r="S23" i="7"/>
  <c r="T25" i="7"/>
  <c r="S25" i="7"/>
  <c r="T5" i="7"/>
  <c r="S5" i="7"/>
  <c r="T4" i="7"/>
  <c r="S4" i="7"/>
  <c r="T16" i="7"/>
  <c r="S16" i="7"/>
  <c r="S43" i="7"/>
  <c r="S29" i="7"/>
  <c r="T27" i="7"/>
  <c r="S26" i="7"/>
  <c r="T39" i="7"/>
  <c r="S37" i="7"/>
  <c r="T34" i="7"/>
  <c r="T44" i="7"/>
  <c r="S45" i="7"/>
  <c r="S36" i="7"/>
  <c r="O36" i="7"/>
  <c r="N36" i="7"/>
  <c r="O31" i="7"/>
  <c r="N31" i="7"/>
  <c r="F31" i="7"/>
  <c r="T31" i="7" s="1"/>
  <c r="T49" i="7"/>
  <c r="T46" i="7"/>
  <c r="T36" i="6"/>
  <c r="O44" i="6"/>
  <c r="N44" i="6"/>
  <c r="S42" i="6"/>
  <c r="T41" i="6"/>
  <c r="F44" i="6"/>
  <c r="T44" i="6" s="1"/>
  <c r="S54" i="6"/>
  <c r="T34" i="6"/>
  <c r="S63" i="6"/>
  <c r="O45" i="6"/>
  <c r="N45" i="6"/>
  <c r="S65" i="6"/>
  <c r="S38" i="6"/>
  <c r="T53" i="6"/>
  <c r="S40" i="6"/>
  <c r="O40" i="6"/>
  <c r="N40" i="6"/>
  <c r="S37" i="6"/>
  <c r="F45" i="6"/>
  <c r="T45" i="6" s="1"/>
  <c r="O39" i="6"/>
  <c r="N39" i="6"/>
  <c r="F39" i="6"/>
  <c r="T39" i="6" s="1"/>
  <c r="S57" i="6"/>
  <c r="O6" i="7"/>
  <c r="N6" i="7"/>
  <c r="O13" i="7"/>
  <c r="F7" i="7"/>
  <c r="S7" i="7" s="1"/>
  <c r="N7" i="7"/>
  <c r="F13" i="7"/>
  <c r="S13" i="7" s="1"/>
  <c r="O12" i="7"/>
  <c r="F12" i="7"/>
  <c r="T3" i="7"/>
  <c r="T14" i="7"/>
  <c r="T11" i="7"/>
  <c r="T19" i="7"/>
  <c r="T18" i="7"/>
  <c r="T17" i="7"/>
  <c r="T24" i="7"/>
  <c r="T21" i="7"/>
  <c r="T6" i="7"/>
  <c r="T20" i="7"/>
  <c r="T22" i="7"/>
  <c r="N24" i="4"/>
  <c r="M24" i="4"/>
  <c r="S25" i="4"/>
  <c r="M25" i="4"/>
  <c r="N5" i="1"/>
  <c r="N19" i="1"/>
  <c r="S4" i="1"/>
  <c r="M31" i="1"/>
  <c r="N31" i="1"/>
  <c r="M39" i="1"/>
  <c r="S3" i="1"/>
  <c r="S10" i="1"/>
  <c r="S2" i="1"/>
  <c r="S9" i="1"/>
  <c r="N8" i="1"/>
  <c r="N7" i="1"/>
  <c r="S6" i="1"/>
  <c r="N23" i="4"/>
  <c r="M23" i="4"/>
  <c r="N3" i="1"/>
  <c r="N10" i="1"/>
  <c r="N9" i="1"/>
  <c r="N6" i="1"/>
  <c r="M3" i="1"/>
  <c r="M10" i="1"/>
  <c r="M2" i="1"/>
  <c r="M9" i="1"/>
  <c r="M6" i="1"/>
  <c r="L24" i="11" l="1"/>
  <c r="M24" i="11"/>
  <c r="I9" i="12"/>
  <c r="Q9" i="12"/>
  <c r="L13" i="12"/>
  <c r="M13" i="12"/>
  <c r="M25" i="12"/>
  <c r="L25" i="12"/>
  <c r="M20" i="12"/>
  <c r="L20" i="12"/>
  <c r="M8" i="12"/>
  <c r="L8" i="12"/>
  <c r="R21" i="12"/>
  <c r="J21" i="12"/>
  <c r="S37" i="12"/>
  <c r="K37" i="12"/>
  <c r="I9" i="11"/>
  <c r="M20" i="11"/>
  <c r="L20" i="11"/>
  <c r="L13" i="11"/>
  <c r="M13" i="11"/>
  <c r="M8" i="11"/>
  <c r="L8" i="11"/>
  <c r="R21" i="11"/>
  <c r="J21" i="11"/>
  <c r="E9" i="11"/>
  <c r="Q9" i="11" s="1"/>
  <c r="M25" i="11"/>
  <c r="L25" i="11"/>
  <c r="T7" i="7"/>
  <c r="T12" i="7"/>
  <c r="S12" i="7"/>
  <c r="S31" i="7"/>
  <c r="S45" i="6"/>
  <c r="S39" i="6"/>
  <c r="S44" i="6"/>
  <c r="T13" i="7"/>
  <c r="S7" i="1"/>
  <c r="S8" i="1"/>
  <c r="S5" i="1"/>
  <c r="M7" i="1"/>
  <c r="M5" i="1"/>
  <c r="M4" i="1"/>
  <c r="N4" i="1"/>
  <c r="M8" i="1"/>
  <c r="M9" i="12" l="1"/>
  <c r="L9" i="12"/>
  <c r="M21" i="12"/>
  <c r="L21" i="12"/>
  <c r="L21" i="11"/>
  <c r="M21" i="11"/>
  <c r="M9" i="11"/>
  <c r="L9" i="11"/>
  <c r="N2" i="7"/>
  <c r="O2" i="7"/>
  <c r="T2" i="7"/>
  <c r="O6" i="6" l="1"/>
  <c r="O7" i="6"/>
  <c r="O4" i="6"/>
  <c r="O31" i="6"/>
  <c r="O19" i="6"/>
  <c r="O22" i="6"/>
  <c r="O12" i="6"/>
  <c r="O32" i="6"/>
  <c r="F7" i="6"/>
  <c r="F19" i="6"/>
  <c r="S19" i="6" s="1"/>
  <c r="F31" i="6"/>
  <c r="S31" i="6" s="1"/>
  <c r="O30" i="6"/>
  <c r="F32" i="6"/>
  <c r="O25" i="6"/>
  <c r="O24" i="6"/>
  <c r="O23" i="6"/>
  <c r="O18" i="6"/>
  <c r="O33" i="6"/>
  <c r="F33" i="6"/>
  <c r="S33" i="6" s="1"/>
  <c r="F22" i="6"/>
  <c r="O11" i="6"/>
  <c r="O9" i="6"/>
  <c r="F9" i="6"/>
  <c r="S9" i="6" s="1"/>
  <c r="O21" i="6"/>
  <c r="F21" i="6"/>
  <c r="F11" i="6"/>
  <c r="S11" i="6" s="1"/>
  <c r="F23" i="6"/>
  <c r="S23" i="6" s="1"/>
  <c r="O20" i="6"/>
  <c r="F20" i="6"/>
  <c r="S20" i="6" s="1"/>
  <c r="F4" i="6"/>
  <c r="F12" i="6"/>
  <c r="S12" i="6" s="1"/>
  <c r="F24" i="6"/>
  <c r="S24" i="6" s="1"/>
  <c r="O5" i="6"/>
  <c r="O13" i="6"/>
  <c r="O8" i="6"/>
  <c r="F8" i="6"/>
  <c r="S8" i="6" s="1"/>
  <c r="F5" i="6"/>
  <c r="F13" i="6"/>
  <c r="S13" i="6" s="1"/>
  <c r="F25" i="6"/>
  <c r="S25" i="6" s="1"/>
  <c r="O10" i="6"/>
  <c r="F10" i="6"/>
  <c r="S10" i="6" s="1"/>
  <c r="O3" i="6"/>
  <c r="F3" i="6"/>
  <c r="F6" i="6"/>
  <c r="S6" i="6" s="1"/>
  <c r="F18" i="6"/>
  <c r="F30" i="6"/>
  <c r="S30" i="6" s="1"/>
  <c r="T22" i="6" l="1"/>
  <c r="S22" i="6"/>
  <c r="T32" i="6"/>
  <c r="S32" i="6"/>
  <c r="T18" i="6"/>
  <c r="S18" i="6"/>
  <c r="T21" i="6"/>
  <c r="S21" i="6"/>
  <c r="T7" i="6"/>
  <c r="S7" i="6"/>
  <c r="T5" i="6"/>
  <c r="S5" i="6"/>
  <c r="T4" i="6"/>
  <c r="S4" i="6"/>
  <c r="T3" i="6"/>
  <c r="S3" i="6"/>
  <c r="T25" i="6"/>
  <c r="T12" i="6"/>
  <c r="T19" i="6"/>
  <c r="T6" i="6"/>
  <c r="T10" i="6"/>
  <c r="T13" i="6"/>
  <c r="T11" i="6"/>
  <c r="T8" i="6"/>
  <c r="T30" i="6"/>
  <c r="T24" i="6"/>
  <c r="T33" i="6"/>
  <c r="T23" i="6"/>
  <c r="T31" i="6"/>
  <c r="T9" i="6"/>
  <c r="T20" i="6"/>
  <c r="N2" i="6"/>
  <c r="O2" i="6"/>
  <c r="F2" i="6"/>
  <c r="S2" i="6" s="1"/>
  <c r="T2" i="6" l="1"/>
  <c r="N4" i="8" l="1"/>
  <c r="O4" i="8"/>
  <c r="I2" i="12"/>
  <c r="L2" i="12" s="1"/>
  <c r="G2" i="12"/>
  <c r="Q2" i="12"/>
  <c r="M2" i="12" l="1"/>
</calcChain>
</file>

<file path=xl/sharedStrings.xml><?xml version="1.0" encoding="utf-8"?>
<sst xmlns="http://schemas.openxmlformats.org/spreadsheetml/2006/main" count="1026" uniqueCount="47">
  <si>
    <t>E</t>
  </si>
  <si>
    <t>north</t>
  </si>
  <si>
    <t>east</t>
  </si>
  <si>
    <t>yaw</t>
  </si>
  <si>
    <t>F</t>
  </si>
  <si>
    <t>left</t>
  </si>
  <si>
    <t>right</t>
  </si>
  <si>
    <t>steering</t>
  </si>
  <si>
    <t>x</t>
  </si>
  <si>
    <t>y</t>
  </si>
  <si>
    <t>direction</t>
  </si>
  <si>
    <t>speed</t>
  </si>
  <si>
    <t>duration</t>
  </si>
  <si>
    <t>command</t>
  </si>
  <si>
    <t>linear-speed</t>
  </si>
  <si>
    <t>angular-speed</t>
  </si>
  <si>
    <t>v1</t>
  </si>
  <si>
    <t>v2</t>
  </si>
  <si>
    <t>D</t>
  </si>
  <si>
    <t>left-command</t>
  </si>
  <si>
    <t>right-command</t>
  </si>
  <si>
    <t>amount</t>
  </si>
  <si>
    <t>port</t>
  </si>
  <si>
    <t>degrees</t>
  </si>
  <si>
    <t>clockwise</t>
  </si>
  <si>
    <t>E-degrees</t>
  </si>
  <si>
    <t>F-degrees</t>
  </si>
  <si>
    <t>D-degrees</t>
  </si>
  <si>
    <t>v</t>
  </si>
  <si>
    <t>E-speed</t>
  </si>
  <si>
    <t>F-speed</t>
  </si>
  <si>
    <t>D-speed</t>
  </si>
  <si>
    <t>initial degrees</t>
  </si>
  <si>
    <t>counterclockwise</t>
  </si>
  <si>
    <t>shortest path</t>
  </si>
  <si>
    <t>delta</t>
  </si>
  <si>
    <t>dir</t>
  </si>
  <si>
    <t>One turn -&gt; Shall be back to nearly 0,0,0 position</t>
  </si>
  <si>
    <t>color</t>
  </si>
  <si>
    <t>red</t>
  </si>
  <si>
    <t>green</t>
  </si>
  <si>
    <t>blue</t>
  </si>
  <si>
    <t>row</t>
  </si>
  <si>
    <t>col</t>
  </si>
  <si>
    <t>yellow</t>
  </si>
  <si>
    <t>black</t>
  </si>
  <si>
    <t>white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</si>
</sst>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203DF-13B7-4740-B8C9-F739F3023C0A}">
  <sheetPr codeName="Sheet1"/>
  <dimension ref="A1:W77"/>
  <sheetViews>
    <sheetView topLeftCell="A56" zoomScale="71" zoomScaleNormal="71" workbookViewId="0">
      <selection activeCell="C87" sqref="C87"/>
    </sheetView>
  </sheetViews>
  <sheetFormatPr defaultRowHeight="14.4" x14ac:dyDescent="0.55000000000000004"/>
  <cols>
    <col min="6" max="6" width="11.578125" bestFit="1" customWidth="1"/>
    <col min="12" max="15" width="10.734375" customWidth="1"/>
    <col min="18" max="18" width="10.7890625" customWidth="1"/>
  </cols>
  <sheetData>
    <row r="1" spans="1:23" x14ac:dyDescent="0.55000000000000004">
      <c r="A1" t="s">
        <v>1</v>
      </c>
      <c r="B1" t="s">
        <v>2</v>
      </c>
      <c r="C1" t="s">
        <v>3</v>
      </c>
      <c r="D1" t="s">
        <v>5</v>
      </c>
      <c r="E1" t="s">
        <v>6</v>
      </c>
      <c r="F1" t="s">
        <v>12</v>
      </c>
      <c r="G1" t="s">
        <v>7</v>
      </c>
      <c r="H1" t="s">
        <v>11</v>
      </c>
      <c r="I1" t="s">
        <v>16</v>
      </c>
      <c r="J1" t="s">
        <v>17</v>
      </c>
      <c r="K1" t="s">
        <v>29</v>
      </c>
      <c r="L1" t="s">
        <v>30</v>
      </c>
      <c r="M1" t="s">
        <v>14</v>
      </c>
      <c r="N1" t="s">
        <v>15</v>
      </c>
      <c r="O1" t="s">
        <v>10</v>
      </c>
      <c r="P1" t="s">
        <v>8</v>
      </c>
      <c r="Q1" t="s">
        <v>9</v>
      </c>
      <c r="R1" t="s">
        <v>25</v>
      </c>
      <c r="S1" t="s">
        <v>26</v>
      </c>
    </row>
    <row r="2" spans="1:23" x14ac:dyDescent="0.55000000000000004">
      <c r="A2">
        <v>0</v>
      </c>
      <c r="B2">
        <v>0</v>
      </c>
      <c r="C2">
        <v>0</v>
      </c>
      <c r="D2" t="s">
        <v>0</v>
      </c>
      <c r="E2" t="s">
        <v>4</v>
      </c>
      <c r="F2">
        <v>0.64</v>
      </c>
      <c r="G2">
        <v>0</v>
      </c>
      <c r="H2">
        <v>20</v>
      </c>
      <c r="I2">
        <f>SIGN(V2)*SUMIF(abaqus!A:A,CONCATENATE("=",ABS(V2)),abaqus!B:B)</f>
        <v>2.8274334300000001</v>
      </c>
      <c r="J2">
        <f>SIGN(W2)*SUMIF(abaqus!A:A,CONCATENATE("=",ABS(W2)),abaqus!B:B)</f>
        <v>2.8274334300000001</v>
      </c>
      <c r="K2">
        <f>IF(D2="E",I2,0)+IF(E2="E",-J2,0)</f>
        <v>2.8274334300000001</v>
      </c>
      <c r="L2">
        <f>IF(D2="F",-I2,0)+IF(E2="F",J2,0)</f>
        <v>2.8274334300000001</v>
      </c>
      <c r="M2">
        <f>(K2+L2)*0.5*5.6/2</f>
        <v>7.9168136039999997</v>
      </c>
      <c r="N2">
        <f>(K2-L2)/3.97/2*5.6/2</f>
        <v>0</v>
      </c>
      <c r="O2">
        <v>0</v>
      </c>
      <c r="P2">
        <v>5.0667607065601103</v>
      </c>
      <c r="Q2">
        <v>0</v>
      </c>
      <c r="R2">
        <f>-K2*$F2/3.1415927*180</f>
        <v>-103.68</v>
      </c>
      <c r="S2">
        <f>L2*$F2/3.1415927*180</f>
        <v>103.68</v>
      </c>
      <c r="V2">
        <f>IF(G2=100,H2,IF(G2=-100,-H2,IF(G2&lt;0,H2*(100+G2)/100,H2)))</f>
        <v>20</v>
      </c>
      <c r="W2">
        <f>IF(G2=100,-H2,IF(G2=-100,H2,IF(G2&gt;0,H2*(100-G2)/100,H2)))</f>
        <v>20</v>
      </c>
    </row>
    <row r="3" spans="1:23" x14ac:dyDescent="0.55000000000000004">
      <c r="A3">
        <v>0</v>
      </c>
      <c r="B3">
        <v>0</v>
      </c>
      <c r="C3">
        <v>0</v>
      </c>
      <c r="D3" t="s">
        <v>0</v>
      </c>
      <c r="E3" t="s">
        <v>4</v>
      </c>
      <c r="F3">
        <v>0.64</v>
      </c>
      <c r="G3">
        <v>0</v>
      </c>
      <c r="H3">
        <v>-20</v>
      </c>
      <c r="I3">
        <f>SIGN(V3)*SUMIF(abaqus!A:A,CONCATENATE("=",ABS(V3)),abaqus!B:B)</f>
        <v>-2.8274334300000001</v>
      </c>
      <c r="J3">
        <f>SIGN(W3)*SUMIF(abaqus!A:A,CONCATENATE("=",ABS(W3)),abaqus!B:B)</f>
        <v>-2.8274334300000001</v>
      </c>
      <c r="K3">
        <f>IF(D3="E",I3,0)+IF(E3="E",-J3,0)</f>
        <v>-2.8274334300000001</v>
      </c>
      <c r="L3">
        <f>IF(D3="F",-I3,0)+IF(E3="F",J3,0)</f>
        <v>-2.8274334300000001</v>
      </c>
      <c r="M3">
        <f t="shared" ref="M3:M10" si="0">(K3+L3)*0.5*5.6/2</f>
        <v>-7.9168136039999997</v>
      </c>
      <c r="N3">
        <f t="shared" ref="N3:N10" si="1">(K3-L3)/3.97/2*5.6/2</f>
        <v>0</v>
      </c>
      <c r="O3">
        <v>0</v>
      </c>
      <c r="P3">
        <v>-5.0667607065601103</v>
      </c>
      <c r="Q3">
        <v>0</v>
      </c>
      <c r="R3">
        <f t="shared" ref="R3:R39" si="2">-K3*$F3/3.1415927*180</f>
        <v>103.68</v>
      </c>
      <c r="S3">
        <f t="shared" ref="S3:S10" si="3">L3*$F3/3.1415927*180</f>
        <v>-103.68</v>
      </c>
      <c r="V3">
        <f t="shared" ref="V3:V39" si="4">IF(G3=100,H3,IF(G3=-100,-H3,IF(G3&lt;0,H3*(100+G3)/100,H3)))</f>
        <v>-20</v>
      </c>
      <c r="W3">
        <f t="shared" ref="W3:W39" si="5">IF(G3=100,-H3,IF(G3=-100,H3,IF(G3&gt;0,H3*(100-G3)/100,H3)))</f>
        <v>-20</v>
      </c>
    </row>
    <row r="4" spans="1:23" x14ac:dyDescent="0.55000000000000004">
      <c r="A4">
        <v>0</v>
      </c>
      <c r="B4">
        <v>0</v>
      </c>
      <c r="C4">
        <v>0</v>
      </c>
      <c r="D4" t="s">
        <v>0</v>
      </c>
      <c r="E4" t="s">
        <v>4</v>
      </c>
      <c r="F4">
        <v>0.64</v>
      </c>
      <c r="G4">
        <v>0</v>
      </c>
      <c r="H4">
        <v>40</v>
      </c>
      <c r="I4">
        <f>SIGN(V4)*SUMIF(abaqus!A:A,CONCATENATE("=",ABS(V4)),abaqus!B:B)</f>
        <v>5.6548668600000003</v>
      </c>
      <c r="J4">
        <f>SIGN(W4)*SUMIF(abaqus!A:A,CONCATENATE("=",ABS(W4)),abaqus!B:B)</f>
        <v>5.6548668600000003</v>
      </c>
      <c r="K4">
        <f>IF(D4="E",I4,0)+IF(E4="E",-J4,0)</f>
        <v>5.6548668600000003</v>
      </c>
      <c r="L4">
        <f>IF(D4="F",-I4,0)+IF(E4="F",J4,0)</f>
        <v>5.6548668600000003</v>
      </c>
      <c r="M4">
        <f t="shared" si="0"/>
        <v>15.833627207999999</v>
      </c>
      <c r="N4">
        <f t="shared" si="1"/>
        <v>0</v>
      </c>
      <c r="O4">
        <v>0</v>
      </c>
      <c r="P4">
        <v>10.133521413120221</v>
      </c>
      <c r="Q4">
        <v>0</v>
      </c>
      <c r="R4">
        <f t="shared" si="2"/>
        <v>-207.36</v>
      </c>
      <c r="S4">
        <f t="shared" si="3"/>
        <v>207.36</v>
      </c>
      <c r="V4">
        <f t="shared" si="4"/>
        <v>40</v>
      </c>
      <c r="W4">
        <f t="shared" si="5"/>
        <v>40</v>
      </c>
    </row>
    <row r="5" spans="1:23" x14ac:dyDescent="0.55000000000000004">
      <c r="A5">
        <v>0</v>
      </c>
      <c r="B5">
        <v>0</v>
      </c>
      <c r="C5">
        <v>0</v>
      </c>
      <c r="D5" t="s">
        <v>0</v>
      </c>
      <c r="E5" t="s">
        <v>4</v>
      </c>
      <c r="F5">
        <v>0.64</v>
      </c>
      <c r="G5">
        <v>0</v>
      </c>
      <c r="H5">
        <v>-40</v>
      </c>
      <c r="I5">
        <f>SIGN(V5)*SUMIF(abaqus!A:A,CONCATENATE("=",ABS(V5)),abaqus!B:B)</f>
        <v>-5.6548668600000003</v>
      </c>
      <c r="J5">
        <f>SIGN(W5)*SUMIF(abaqus!A:A,CONCATENATE("=",ABS(W5)),abaqus!B:B)</f>
        <v>-5.6548668600000003</v>
      </c>
      <c r="K5">
        <f>IF(D5="E",I5,0)+IF(E5="E",-J5,0)</f>
        <v>-5.6548668600000003</v>
      </c>
      <c r="L5">
        <f>IF(D5="F",-I5,0)+IF(E5="F",J5,0)</f>
        <v>-5.6548668600000003</v>
      </c>
      <c r="M5">
        <f t="shared" si="0"/>
        <v>-15.833627207999999</v>
      </c>
      <c r="N5">
        <f t="shared" si="1"/>
        <v>0</v>
      </c>
      <c r="O5">
        <v>0</v>
      </c>
      <c r="P5">
        <v>-10.133521413120221</v>
      </c>
      <c r="Q5">
        <v>0</v>
      </c>
      <c r="R5">
        <f t="shared" si="2"/>
        <v>207.36</v>
      </c>
      <c r="S5">
        <f t="shared" si="3"/>
        <v>-207.36</v>
      </c>
      <c r="V5">
        <f t="shared" si="4"/>
        <v>-40</v>
      </c>
      <c r="W5">
        <f t="shared" si="5"/>
        <v>-40</v>
      </c>
    </row>
    <row r="6" spans="1:23" x14ac:dyDescent="0.55000000000000004">
      <c r="A6">
        <v>0</v>
      </c>
      <c r="B6">
        <v>0</v>
      </c>
      <c r="C6">
        <v>0</v>
      </c>
      <c r="D6" t="s">
        <v>0</v>
      </c>
      <c r="E6" t="s">
        <v>4</v>
      </c>
      <c r="F6">
        <v>1.28</v>
      </c>
      <c r="G6">
        <v>0</v>
      </c>
      <c r="H6">
        <v>-20</v>
      </c>
      <c r="I6">
        <f>SIGN(V6)*SUMIF(abaqus!A:A,CONCATENATE("=",ABS(V6)),abaqus!B:B)</f>
        <v>-2.8274334300000001</v>
      </c>
      <c r="J6">
        <f>SIGN(W6)*SUMIF(abaqus!A:A,CONCATENATE("=",ABS(W6)),abaqus!B:B)</f>
        <v>-2.8274334300000001</v>
      </c>
      <c r="K6">
        <f>IF(D6="E",I6,0)+IF(E6="E",-J6,0)</f>
        <v>-2.8274334300000001</v>
      </c>
      <c r="L6">
        <f>IF(D6="F",-I6,0)+IF(E6="F",J6,0)</f>
        <v>-2.8274334300000001</v>
      </c>
      <c r="M6">
        <f t="shared" si="0"/>
        <v>-7.9168136039999997</v>
      </c>
      <c r="N6">
        <f t="shared" si="1"/>
        <v>0</v>
      </c>
      <c r="O6">
        <v>0</v>
      </c>
      <c r="P6">
        <v>-10.133521413121136</v>
      </c>
      <c r="Q6">
        <v>0</v>
      </c>
      <c r="R6">
        <f t="shared" si="2"/>
        <v>207.36</v>
      </c>
      <c r="S6">
        <f t="shared" si="3"/>
        <v>-207.36</v>
      </c>
      <c r="V6">
        <f t="shared" si="4"/>
        <v>-20</v>
      </c>
      <c r="W6">
        <f t="shared" si="5"/>
        <v>-20</v>
      </c>
    </row>
    <row r="7" spans="1:23" x14ac:dyDescent="0.55000000000000004">
      <c r="A7">
        <v>0</v>
      </c>
      <c r="B7">
        <v>0</v>
      </c>
      <c r="C7">
        <v>0</v>
      </c>
      <c r="D7" t="s">
        <v>0</v>
      </c>
      <c r="E7" t="s">
        <v>4</v>
      </c>
      <c r="F7">
        <v>0.32</v>
      </c>
      <c r="G7">
        <v>100</v>
      </c>
      <c r="H7">
        <v>50</v>
      </c>
      <c r="I7">
        <f>SIGN(V7)*SUMIF(abaqus!A:A,CONCATENATE("=",ABS(V7)),abaqus!B:B)</f>
        <v>7.0685835749999999</v>
      </c>
      <c r="J7">
        <f>SIGN(W7)*SUMIF(abaqus!A:A,CONCATENATE("=",ABS(W7)),abaqus!B:B)</f>
        <v>-7.0685835749999999</v>
      </c>
      <c r="K7">
        <f>IF(D7="E",I7,0)+IF(E7="E",-J7,0)</f>
        <v>7.0685835749999999</v>
      </c>
      <c r="L7">
        <f>IF(D7="F",-I7,0)+IF(E7="F",J7,0)</f>
        <v>-7.0685835749999999</v>
      </c>
      <c r="M7">
        <f t="shared" si="0"/>
        <v>0</v>
      </c>
      <c r="N7">
        <f t="shared" si="1"/>
        <v>4.9853989949622157</v>
      </c>
      <c r="O7">
        <v>91.405541561713989</v>
      </c>
      <c r="P7">
        <v>0</v>
      </c>
      <c r="Q7">
        <v>0</v>
      </c>
      <c r="R7">
        <f t="shared" si="2"/>
        <v>-129.6</v>
      </c>
      <c r="S7">
        <f t="shared" si="3"/>
        <v>-129.6</v>
      </c>
      <c r="V7">
        <f t="shared" si="4"/>
        <v>50</v>
      </c>
      <c r="W7">
        <f t="shared" si="5"/>
        <v>-50</v>
      </c>
    </row>
    <row r="8" spans="1:23" x14ac:dyDescent="0.55000000000000004">
      <c r="A8">
        <v>0</v>
      </c>
      <c r="B8">
        <v>0</v>
      </c>
      <c r="C8">
        <v>0</v>
      </c>
      <c r="D8" t="s">
        <v>0</v>
      </c>
      <c r="E8" t="s">
        <v>4</v>
      </c>
      <c r="F8">
        <v>0.32</v>
      </c>
      <c r="G8">
        <v>-100</v>
      </c>
      <c r="H8">
        <v>50</v>
      </c>
      <c r="I8">
        <f>SIGN(V8)*SUMIF(abaqus!A:A,CONCATENATE("=",ABS(V8)),abaqus!B:B)</f>
        <v>-7.0685835749999999</v>
      </c>
      <c r="J8">
        <f>SIGN(W8)*SUMIF(abaqus!A:A,CONCATENATE("=",ABS(W8)),abaqus!B:B)</f>
        <v>7.0685835749999999</v>
      </c>
      <c r="K8">
        <f>IF(D8="E",I8,0)+IF(E8="E",-J8,0)</f>
        <v>-7.0685835749999999</v>
      </c>
      <c r="L8">
        <f>IF(D8="F",-I8,0)+IF(E8="F",J8,0)</f>
        <v>7.0685835749999999</v>
      </c>
      <c r="M8">
        <f t="shared" si="0"/>
        <v>0</v>
      </c>
      <c r="N8">
        <f t="shared" si="1"/>
        <v>-4.9853989949622157</v>
      </c>
      <c r="O8">
        <v>-91.405541561713989</v>
      </c>
      <c r="P8">
        <v>0</v>
      </c>
      <c r="Q8">
        <v>0</v>
      </c>
      <c r="R8">
        <f t="shared" si="2"/>
        <v>129.6</v>
      </c>
      <c r="S8">
        <f t="shared" si="3"/>
        <v>129.6</v>
      </c>
      <c r="V8">
        <f t="shared" si="4"/>
        <v>-50</v>
      </c>
      <c r="W8">
        <f t="shared" si="5"/>
        <v>50</v>
      </c>
    </row>
    <row r="9" spans="1:23" x14ac:dyDescent="0.55000000000000004">
      <c r="A9">
        <v>0</v>
      </c>
      <c r="B9">
        <v>0</v>
      </c>
      <c r="C9">
        <v>0</v>
      </c>
      <c r="D9" t="s">
        <v>0</v>
      </c>
      <c r="E9" t="s">
        <v>4</v>
      </c>
      <c r="F9">
        <v>0.64</v>
      </c>
      <c r="G9">
        <v>100</v>
      </c>
      <c r="H9">
        <v>50</v>
      </c>
      <c r="I9">
        <f>SIGN(V9)*SUMIF(abaqus!A:A,CONCATENATE("=",ABS(V9)),abaqus!B:B)</f>
        <v>7.0685835749999999</v>
      </c>
      <c r="J9">
        <f>SIGN(W9)*SUMIF(abaqus!A:A,CONCATENATE("=",ABS(W9)),abaqus!B:B)</f>
        <v>-7.0685835749999999</v>
      </c>
      <c r="K9">
        <f>IF(D9="E",I9,0)+IF(E9="E",-J9,0)</f>
        <v>7.0685835749999999</v>
      </c>
      <c r="L9">
        <f>IF(D9="F",-I9,0)+IF(E9="F",J9,0)</f>
        <v>-7.0685835749999999</v>
      </c>
      <c r="M9">
        <f t="shared" si="0"/>
        <v>0</v>
      </c>
      <c r="N9">
        <f t="shared" si="1"/>
        <v>4.9853989949622157</v>
      </c>
      <c r="O9">
        <v>182.81108312342889</v>
      </c>
      <c r="P9">
        <v>0</v>
      </c>
      <c r="Q9">
        <v>0</v>
      </c>
      <c r="R9">
        <f t="shared" si="2"/>
        <v>-259.2</v>
      </c>
      <c r="S9">
        <f t="shared" si="3"/>
        <v>-259.2</v>
      </c>
      <c r="V9">
        <f t="shared" si="4"/>
        <v>50</v>
      </c>
      <c r="W9">
        <f t="shared" si="5"/>
        <v>-50</v>
      </c>
    </row>
    <row r="10" spans="1:23" x14ac:dyDescent="0.55000000000000004">
      <c r="A10">
        <v>0</v>
      </c>
      <c r="B10">
        <v>0</v>
      </c>
      <c r="C10">
        <v>0</v>
      </c>
      <c r="D10" t="s">
        <v>0</v>
      </c>
      <c r="E10" t="s">
        <v>4</v>
      </c>
      <c r="F10">
        <v>1.6</v>
      </c>
      <c r="G10">
        <v>100</v>
      </c>
      <c r="H10">
        <v>-50</v>
      </c>
      <c r="I10">
        <f>SIGN(V10)*SUMIF(abaqus!A:A,CONCATENATE("=",ABS(V10)),abaqus!B:B)</f>
        <v>-7.0685835749999999</v>
      </c>
      <c r="J10">
        <f>SIGN(W10)*SUMIF(abaqus!A:A,CONCATENATE("=",ABS(W10)),abaqus!B:B)</f>
        <v>7.0685835749999999</v>
      </c>
      <c r="K10">
        <f>IF(D10="E",I10,0)+IF(E10="E",-J10,0)</f>
        <v>-7.0685835749999999</v>
      </c>
      <c r="L10">
        <f>IF(D10="F",-I10,0)+IF(E10="F",J10,0)</f>
        <v>7.0685835749999999</v>
      </c>
      <c r="M10">
        <f t="shared" si="0"/>
        <v>0</v>
      </c>
      <c r="N10">
        <f t="shared" si="1"/>
        <v>-4.9853989949622157</v>
      </c>
      <c r="O10">
        <v>-457.027707808625</v>
      </c>
      <c r="P10">
        <v>0</v>
      </c>
      <c r="Q10">
        <v>0</v>
      </c>
      <c r="R10">
        <f t="shared" si="2"/>
        <v>648</v>
      </c>
      <c r="S10">
        <f t="shared" si="3"/>
        <v>648</v>
      </c>
      <c r="V10">
        <f t="shared" si="4"/>
        <v>-50</v>
      </c>
      <c r="W10">
        <f t="shared" si="5"/>
        <v>50</v>
      </c>
    </row>
    <row r="11" spans="1:23" x14ac:dyDescent="0.55000000000000004">
      <c r="A11">
        <v>0</v>
      </c>
      <c r="B11">
        <v>0</v>
      </c>
      <c r="C11">
        <v>0</v>
      </c>
      <c r="D11" t="s">
        <v>0</v>
      </c>
      <c r="E11" t="s">
        <v>4</v>
      </c>
      <c r="F11">
        <v>0.32</v>
      </c>
      <c r="G11">
        <v>99</v>
      </c>
      <c r="H11">
        <v>50</v>
      </c>
      <c r="I11">
        <f>SIGN(V11)*SUMIF(abaqus!A:A,CONCATENATE("=",ABS(V11)),abaqus!B:B)</f>
        <v>7.0685835749999999</v>
      </c>
      <c r="J11">
        <f>SIGN(W11)*SUMIF(abaqus!A:A,CONCATENATE("=",ABS(W11)),abaqus!B:B)</f>
        <v>0</v>
      </c>
      <c r="K11">
        <f>IF(D11="E",I11,0)+IF(E11="E",-J11,0)</f>
        <v>7.0685835749999999</v>
      </c>
      <c r="L11">
        <f>IF(D11="F",-I11,0)+IF(E11="F",J11,0)</f>
        <v>0</v>
      </c>
      <c r="M11">
        <f t="shared" ref="M11:M14" si="6">(K11+L11)*0.5*5.6/2</f>
        <v>9.8960170049999991</v>
      </c>
      <c r="N11">
        <f t="shared" ref="N11:N14" si="7">(K11-L11)/3.97/2*5.6/2</f>
        <v>2.4926994974811079</v>
      </c>
      <c r="O11">
        <v>45.702770780856994</v>
      </c>
      <c r="P11">
        <v>2.8414366570827072</v>
      </c>
      <c r="Q11">
        <v>1.1974266787067149</v>
      </c>
      <c r="R11">
        <f t="shared" ref="R11:R14" si="8">-K11*$F11/3.1415927*180</f>
        <v>-129.6</v>
      </c>
      <c r="S11">
        <f t="shared" ref="S11:S14" si="9">L11*$F11/3.1415927*180</f>
        <v>0</v>
      </c>
      <c r="V11">
        <f t="shared" ref="V11:V14" si="10">IF(G11=100,H11,IF(G11=-100,-H11,IF(G11&lt;0,H11*(100+G11)/100,H11)))</f>
        <v>50</v>
      </c>
      <c r="W11">
        <f t="shared" ref="W11:W14" si="11">IF(G11=100,-H11,IF(G11=-100,H11,IF(G11&gt;0,H11*(100-G11)/100,H11)))</f>
        <v>0.5</v>
      </c>
    </row>
    <row r="12" spans="1:23" x14ac:dyDescent="0.55000000000000004">
      <c r="A12">
        <v>0</v>
      </c>
      <c r="B12">
        <v>0</v>
      </c>
      <c r="C12">
        <v>0</v>
      </c>
      <c r="D12" t="s">
        <v>0</v>
      </c>
      <c r="E12" t="s">
        <v>4</v>
      </c>
      <c r="F12">
        <v>0.32</v>
      </c>
      <c r="G12">
        <v>-99</v>
      </c>
      <c r="H12">
        <v>50</v>
      </c>
      <c r="I12">
        <f>SIGN(V12)*SUMIF(abaqus!A:A,CONCATENATE("=",ABS(V12)),abaqus!B:B)</f>
        <v>0</v>
      </c>
      <c r="J12">
        <f>SIGN(W12)*SUMIF(abaqus!A:A,CONCATENATE("=",ABS(W12)),abaqus!B:B)</f>
        <v>7.0685835749999999</v>
      </c>
      <c r="K12">
        <f>IF(D12="E",I12,0)+IF(E12="E",-J12,0)</f>
        <v>0</v>
      </c>
      <c r="L12">
        <f>IF(D12="F",-I12,0)+IF(E12="F",J12,0)</f>
        <v>7.0685835749999999</v>
      </c>
      <c r="M12">
        <f t="shared" si="6"/>
        <v>9.8960170049999991</v>
      </c>
      <c r="N12">
        <f t="shared" si="7"/>
        <v>-2.4926994974811079</v>
      </c>
      <c r="O12">
        <v>-45.702770780856994</v>
      </c>
      <c r="P12">
        <v>2.8414366570827072</v>
      </c>
      <c r="Q12">
        <v>-1.1974266787067149</v>
      </c>
      <c r="R12">
        <f t="shared" si="8"/>
        <v>0</v>
      </c>
      <c r="S12">
        <f t="shared" si="9"/>
        <v>129.6</v>
      </c>
      <c r="V12">
        <f t="shared" si="10"/>
        <v>0.5</v>
      </c>
      <c r="W12">
        <f t="shared" si="11"/>
        <v>50</v>
      </c>
    </row>
    <row r="13" spans="1:23" x14ac:dyDescent="0.55000000000000004">
      <c r="A13">
        <v>0</v>
      </c>
      <c r="B13">
        <v>0</v>
      </c>
      <c r="C13">
        <v>0</v>
      </c>
      <c r="D13" t="s">
        <v>0</v>
      </c>
      <c r="E13" t="s">
        <v>4</v>
      </c>
      <c r="F13">
        <v>0.64</v>
      </c>
      <c r="G13">
        <v>99</v>
      </c>
      <c r="H13">
        <v>50</v>
      </c>
      <c r="I13">
        <f>SIGN(V13)*SUMIF(abaqus!A:A,CONCATENATE("=",ABS(V13)),abaqus!B:B)</f>
        <v>7.0685835749999999</v>
      </c>
      <c r="J13">
        <f>SIGN(W13)*SUMIF(abaqus!A:A,CONCATENATE("=",ABS(W13)),abaqus!B:B)</f>
        <v>0</v>
      </c>
      <c r="K13">
        <f>IF(D13="E",I13,0)+IF(E13="E",-J13,0)</f>
        <v>7.0685835749999999</v>
      </c>
      <c r="L13">
        <f>IF(D13="F",-I13,0)+IF(E13="F",J13,0)</f>
        <v>0</v>
      </c>
      <c r="M13">
        <f t="shared" si="6"/>
        <v>9.8960170049999991</v>
      </c>
      <c r="N13">
        <f t="shared" si="7"/>
        <v>2.4926994974811079</v>
      </c>
      <c r="O13">
        <v>91.405541561714443</v>
      </c>
      <c r="P13">
        <v>3.9688057691691867</v>
      </c>
      <c r="Q13">
        <v>4.0673799614215751</v>
      </c>
      <c r="R13">
        <f t="shared" si="8"/>
        <v>-259.2</v>
      </c>
      <c r="S13">
        <f t="shared" si="9"/>
        <v>0</v>
      </c>
      <c r="V13">
        <f t="shared" si="10"/>
        <v>50</v>
      </c>
      <c r="W13">
        <f t="shared" si="11"/>
        <v>0.5</v>
      </c>
    </row>
    <row r="14" spans="1:23" x14ac:dyDescent="0.55000000000000004">
      <c r="A14">
        <v>0</v>
      </c>
      <c r="B14">
        <v>0</v>
      </c>
      <c r="C14">
        <v>0</v>
      </c>
      <c r="D14" t="s">
        <v>0</v>
      </c>
      <c r="E14" t="s">
        <v>4</v>
      </c>
      <c r="F14">
        <v>1.6</v>
      </c>
      <c r="G14">
        <v>99</v>
      </c>
      <c r="H14">
        <v>-50</v>
      </c>
      <c r="I14">
        <f>SIGN(V14)*SUMIF(abaqus!A:A,CONCATENATE("=",ABS(V14)),abaqus!B:B)</f>
        <v>-7.0685835749999999</v>
      </c>
      <c r="J14">
        <f>SIGN(W14)*SUMIF(abaqus!A:A,CONCATENATE("=",ABS(W14)),abaqus!B:B)</f>
        <v>0</v>
      </c>
      <c r="K14">
        <f>IF(D14="E",I14,0)+IF(E14="E",-J14,0)</f>
        <v>-7.0685835749999999</v>
      </c>
      <c r="L14">
        <f>IF(D14="F",-I14,0)+IF(E14="F",J14,0)</f>
        <v>0</v>
      </c>
      <c r="M14">
        <f t="shared" si="6"/>
        <v>-9.8960170049999991</v>
      </c>
      <c r="N14">
        <f t="shared" si="7"/>
        <v>-2.4926994974811079</v>
      </c>
      <c r="O14">
        <v>-228.5138539043125</v>
      </c>
      <c r="P14">
        <v>2.9739905416311152</v>
      </c>
      <c r="Q14">
        <v>6.5998828205921658</v>
      </c>
      <c r="R14">
        <f t="shared" si="8"/>
        <v>648</v>
      </c>
      <c r="S14">
        <f t="shared" si="9"/>
        <v>0</v>
      </c>
      <c r="V14">
        <f t="shared" si="10"/>
        <v>-50</v>
      </c>
      <c r="W14">
        <f t="shared" si="11"/>
        <v>-0.5</v>
      </c>
    </row>
    <row r="15" spans="1:23" x14ac:dyDescent="0.55000000000000004">
      <c r="A15">
        <v>0</v>
      </c>
      <c r="B15">
        <v>0</v>
      </c>
      <c r="C15">
        <f>3.1415927/2</f>
        <v>1.57079635</v>
      </c>
      <c r="D15" t="s">
        <v>0</v>
      </c>
      <c r="E15" t="s">
        <v>4</v>
      </c>
      <c r="F15">
        <v>0.64</v>
      </c>
      <c r="G15">
        <v>0</v>
      </c>
      <c r="H15">
        <v>20</v>
      </c>
      <c r="I15">
        <f>SIGN(V15)*SUMIF(abaqus!A:A,CONCATENATE("=",ABS(V15)),abaqus!B:B)</f>
        <v>2.8274334300000001</v>
      </c>
      <c r="J15">
        <f>SIGN(W15)*SUMIF(abaqus!A:A,CONCATENATE("=",ABS(W15)),abaqus!B:B)</f>
        <v>2.8274334300000001</v>
      </c>
      <c r="K15">
        <f>IF(D15="E",I15,0)+IF(E15="E",-J15,0)</f>
        <v>2.8274334300000001</v>
      </c>
      <c r="L15">
        <f>IF(D15="F",-I15,0)+IF(E15="F",J15,0)</f>
        <v>2.8274334300000001</v>
      </c>
      <c r="M15">
        <f>(K15+L15)*0.5*5.6/2</f>
        <v>7.9168136039999997</v>
      </c>
      <c r="N15">
        <f>(K15-L15)/3.97/2*5.6/2</f>
        <v>0</v>
      </c>
      <c r="O15">
        <v>90</v>
      </c>
      <c r="P15">
        <v>-1.1757470576003068E-7</v>
      </c>
      <c r="Q15">
        <v>5.0667607065601103</v>
      </c>
      <c r="R15">
        <f t="shared" si="2"/>
        <v>-103.68</v>
      </c>
      <c r="S15">
        <f t="shared" ref="S15:S17" si="12">L15*$F15/3.1415927*180</f>
        <v>103.68</v>
      </c>
      <c r="V15">
        <f t="shared" si="4"/>
        <v>20</v>
      </c>
      <c r="W15">
        <f t="shared" si="5"/>
        <v>20</v>
      </c>
    </row>
    <row r="16" spans="1:23" x14ac:dyDescent="0.55000000000000004">
      <c r="A16">
        <v>0</v>
      </c>
      <c r="B16">
        <v>0</v>
      </c>
      <c r="C16">
        <f>-3.1415927/2</f>
        <v>-1.57079635</v>
      </c>
      <c r="D16" t="s">
        <v>0</v>
      </c>
      <c r="E16" t="s">
        <v>4</v>
      </c>
      <c r="F16">
        <v>0.64</v>
      </c>
      <c r="G16">
        <v>0</v>
      </c>
      <c r="H16">
        <v>20</v>
      </c>
      <c r="I16">
        <f>SIGN(V16)*SUMIF(abaqus!A:A,CONCATENATE("=",ABS(V16)),abaqus!B:B)</f>
        <v>2.8274334300000001</v>
      </c>
      <c r="J16">
        <f>SIGN(W16)*SUMIF(abaqus!A:A,CONCATENATE("=",ABS(W16)),abaqus!B:B)</f>
        <v>2.8274334300000001</v>
      </c>
      <c r="K16">
        <f>IF(D16="E",I16,0)+IF(E16="E",-J16,0)</f>
        <v>2.8274334300000001</v>
      </c>
      <c r="L16">
        <f>IF(D16="F",-I16,0)+IF(E16="F",J16,0)</f>
        <v>2.8274334300000001</v>
      </c>
      <c r="M16">
        <f>(K16+L16)*0.5*5.6/2</f>
        <v>7.9168136039999997</v>
      </c>
      <c r="N16">
        <f>(K16-L16)/3.97/2*5.6/2</f>
        <v>0</v>
      </c>
      <c r="O16">
        <v>-90</v>
      </c>
      <c r="P16">
        <v>-1.1757470576003068E-7</v>
      </c>
      <c r="Q16">
        <v>-5.0667607065601103</v>
      </c>
      <c r="R16">
        <f t="shared" si="2"/>
        <v>-103.68</v>
      </c>
      <c r="S16">
        <f t="shared" si="12"/>
        <v>103.68</v>
      </c>
      <c r="V16">
        <f t="shared" si="4"/>
        <v>20</v>
      </c>
      <c r="W16">
        <f t="shared" si="5"/>
        <v>20</v>
      </c>
    </row>
    <row r="17" spans="1:23" x14ac:dyDescent="0.55000000000000004">
      <c r="A17">
        <v>0</v>
      </c>
      <c r="B17">
        <v>0</v>
      </c>
      <c r="C17">
        <f>3.1415927</f>
        <v>3.1415926999999999</v>
      </c>
      <c r="D17" t="s">
        <v>0</v>
      </c>
      <c r="E17" t="s">
        <v>4</v>
      </c>
      <c r="F17">
        <v>0.64</v>
      </c>
      <c r="G17">
        <v>0</v>
      </c>
      <c r="H17">
        <v>20</v>
      </c>
      <c r="I17">
        <f>SIGN(V17)*SUMIF(abaqus!A:A,CONCATENATE("=",ABS(V17)),abaqus!B:B)</f>
        <v>2.8274334300000001</v>
      </c>
      <c r="J17">
        <f>SIGN(W17)*SUMIF(abaqus!A:A,CONCATENATE("=",ABS(W17)),abaqus!B:B)</f>
        <v>2.8274334300000001</v>
      </c>
      <c r="K17">
        <f>IF(D17="E",I17,0)+IF(E17="E",-J17,0)</f>
        <v>2.8274334300000001</v>
      </c>
      <c r="L17">
        <f>IF(D17="F",-I17,0)+IF(E17="F",J17,0)</f>
        <v>2.8274334300000001</v>
      </c>
      <c r="M17">
        <f>(K17+L17)*0.5*5.6/2</f>
        <v>7.9168136039999997</v>
      </c>
      <c r="N17">
        <f>(K17-L17)/3.97/2*5.6/2</f>
        <v>0</v>
      </c>
      <c r="O17">
        <v>180</v>
      </c>
      <c r="P17">
        <v>-5.0667607065601103</v>
      </c>
      <c r="Q17">
        <v>-2.3514941152006136E-7</v>
      </c>
      <c r="R17">
        <f t="shared" si="2"/>
        <v>-103.68</v>
      </c>
      <c r="S17">
        <f t="shared" si="12"/>
        <v>103.68</v>
      </c>
      <c r="V17">
        <f t="shared" si="4"/>
        <v>20</v>
      </c>
      <c r="W17">
        <f t="shared" si="5"/>
        <v>20</v>
      </c>
    </row>
    <row r="18" spans="1:23" x14ac:dyDescent="0.55000000000000004">
      <c r="A18">
        <v>0</v>
      </c>
      <c r="B18">
        <v>0</v>
      </c>
      <c r="C18">
        <f>3.1415927/2</f>
        <v>1.57079635</v>
      </c>
      <c r="D18" t="s">
        <v>0</v>
      </c>
      <c r="E18" t="s">
        <v>4</v>
      </c>
      <c r="F18">
        <v>0.32</v>
      </c>
      <c r="G18">
        <v>100</v>
      </c>
      <c r="H18">
        <v>50</v>
      </c>
      <c r="I18">
        <f>SIGN(V18)*SUMIF(abaqus!A:A,CONCATENATE("=",ABS(V18)),abaqus!B:B)</f>
        <v>7.0685835749999999</v>
      </c>
      <c r="J18">
        <f>SIGN(W18)*SUMIF(abaqus!A:A,CONCATENATE("=",ABS(W18)),abaqus!B:B)</f>
        <v>-7.0685835749999999</v>
      </c>
      <c r="K18">
        <f>IF(D18="E",I18,0)+IF(E18="E",-J18,0)</f>
        <v>7.0685835749999999</v>
      </c>
      <c r="L18">
        <f>IF(D18="F",-I18,0)+IF(E18="F",J18,0)</f>
        <v>-7.0685835749999999</v>
      </c>
      <c r="M18">
        <f t="shared" ref="M18:M20" si="13">(K18+L18)*0.5*5.6/2</f>
        <v>0</v>
      </c>
      <c r="N18">
        <f t="shared" ref="N18:N20" si="14">(K18-L18)/3.97/2*5.6/2</f>
        <v>4.9853989949622157</v>
      </c>
      <c r="O18">
        <v>181.40554156171058</v>
      </c>
      <c r="P18">
        <v>0</v>
      </c>
      <c r="Q18">
        <v>0</v>
      </c>
      <c r="R18">
        <f t="shared" si="2"/>
        <v>-129.6</v>
      </c>
      <c r="S18">
        <f t="shared" ref="S18:S20" si="15">L18*$F18/3.1415927*180</f>
        <v>-129.6</v>
      </c>
      <c r="V18">
        <f t="shared" si="4"/>
        <v>50</v>
      </c>
      <c r="W18">
        <f t="shared" si="5"/>
        <v>-50</v>
      </c>
    </row>
    <row r="19" spans="1:23" x14ac:dyDescent="0.55000000000000004">
      <c r="A19">
        <v>0</v>
      </c>
      <c r="B19">
        <v>0</v>
      </c>
      <c r="C19">
        <f>-3.1415927/2</f>
        <v>-1.57079635</v>
      </c>
      <c r="D19" t="s">
        <v>0</v>
      </c>
      <c r="E19" t="s">
        <v>4</v>
      </c>
      <c r="F19">
        <v>0.32</v>
      </c>
      <c r="G19">
        <v>100</v>
      </c>
      <c r="H19">
        <v>50</v>
      </c>
      <c r="I19">
        <f>SIGN(V19)*SUMIF(abaqus!A:A,CONCATENATE("=",ABS(V19)),abaqus!B:B)</f>
        <v>7.0685835749999999</v>
      </c>
      <c r="J19">
        <f>SIGN(W19)*SUMIF(abaqus!A:A,CONCATENATE("=",ABS(W19)),abaqus!B:B)</f>
        <v>-7.0685835749999999</v>
      </c>
      <c r="K19">
        <f>IF(D19="E",I19,0)+IF(E19="E",-J19,0)</f>
        <v>7.0685835749999999</v>
      </c>
      <c r="L19">
        <f>IF(D19="F",-I19,0)+IF(E19="F",J19,0)</f>
        <v>-7.0685835749999999</v>
      </c>
      <c r="M19">
        <f t="shared" si="13"/>
        <v>0</v>
      </c>
      <c r="N19">
        <f t="shared" si="14"/>
        <v>4.9853989949622157</v>
      </c>
      <c r="O19">
        <v>1.4055415617139311</v>
      </c>
      <c r="P19">
        <v>0</v>
      </c>
      <c r="Q19">
        <v>0</v>
      </c>
      <c r="R19">
        <f t="shared" si="2"/>
        <v>-129.6</v>
      </c>
      <c r="S19">
        <f t="shared" si="15"/>
        <v>-129.6</v>
      </c>
      <c r="V19">
        <f t="shared" si="4"/>
        <v>50</v>
      </c>
      <c r="W19">
        <f t="shared" si="5"/>
        <v>-50</v>
      </c>
    </row>
    <row r="20" spans="1:23" x14ac:dyDescent="0.55000000000000004">
      <c r="A20">
        <v>0</v>
      </c>
      <c r="B20">
        <v>0</v>
      </c>
      <c r="C20">
        <f>3.1415927</f>
        <v>3.1415926999999999</v>
      </c>
      <c r="D20" t="s">
        <v>0</v>
      </c>
      <c r="E20" t="s">
        <v>4</v>
      </c>
      <c r="F20">
        <v>0.32</v>
      </c>
      <c r="G20">
        <v>100</v>
      </c>
      <c r="H20">
        <v>50</v>
      </c>
      <c r="I20">
        <f>SIGN(V20)*SUMIF(abaqus!A:A,CONCATENATE("=",ABS(V20)),abaqus!B:B)</f>
        <v>7.0685835749999999</v>
      </c>
      <c r="J20">
        <f>SIGN(W20)*SUMIF(abaqus!A:A,CONCATENATE("=",ABS(W20)),abaqus!B:B)</f>
        <v>-7.0685835749999999</v>
      </c>
      <c r="K20">
        <f>IF(D20="E",I20,0)+IF(E20="E",-J20,0)</f>
        <v>7.0685835749999999</v>
      </c>
      <c r="L20">
        <f>IF(D20="F",-I20,0)+IF(E20="F",J20,0)</f>
        <v>-7.0685835749999999</v>
      </c>
      <c r="M20">
        <f t="shared" si="13"/>
        <v>0</v>
      </c>
      <c r="N20">
        <f t="shared" si="14"/>
        <v>4.9853989949622157</v>
      </c>
      <c r="O20">
        <v>271.40554156171584</v>
      </c>
      <c r="P20">
        <v>0</v>
      </c>
      <c r="Q20">
        <v>0</v>
      </c>
      <c r="R20">
        <f t="shared" si="2"/>
        <v>-129.6</v>
      </c>
      <c r="S20">
        <f t="shared" si="15"/>
        <v>-129.6</v>
      </c>
      <c r="V20">
        <f t="shared" si="4"/>
        <v>50</v>
      </c>
      <c r="W20">
        <f t="shared" si="5"/>
        <v>-50</v>
      </c>
    </row>
    <row r="21" spans="1:23" x14ac:dyDescent="0.55000000000000004">
      <c r="A21">
        <v>0</v>
      </c>
      <c r="B21">
        <v>0</v>
      </c>
      <c r="C21">
        <f>3.1415927/2</f>
        <v>1.57079635</v>
      </c>
      <c r="D21" t="s">
        <v>0</v>
      </c>
      <c r="E21" t="s">
        <v>4</v>
      </c>
      <c r="F21">
        <v>0.32</v>
      </c>
      <c r="G21">
        <v>99</v>
      </c>
      <c r="H21">
        <v>50</v>
      </c>
      <c r="I21">
        <f>SIGN(V21)*SUMIF(abaqus!A:A,CONCATENATE("=",ABS(V21)),abaqus!B:B)</f>
        <v>7.0685835749999999</v>
      </c>
      <c r="J21">
        <f>SIGN(W21)*SUMIF(abaqus!A:A,CONCATENATE("=",ABS(W21)),abaqus!B:B)</f>
        <v>0</v>
      </c>
      <c r="K21">
        <f>IF(D21="E",I21,0)+IF(E21="E",-J21,0)</f>
        <v>7.0685835749999999</v>
      </c>
      <c r="L21">
        <f>IF(D21="F",-I21,0)+IF(E21="F",J21,0)</f>
        <v>0</v>
      </c>
      <c r="M21">
        <f t="shared" ref="M21:M23" si="16">(K21+L21)*0.5*5.6/2</f>
        <v>9.8960170049999991</v>
      </c>
      <c r="N21">
        <f t="shared" ref="N21:N23" si="17">(K21-L21)/3.97/2*5.6/2</f>
        <v>2.4926994974811079</v>
      </c>
      <c r="O21">
        <v>135.70277078085792</v>
      </c>
      <c r="P21">
        <v>-1.197426744642528</v>
      </c>
      <c r="Q21">
        <v>2.8414366292962958</v>
      </c>
      <c r="R21">
        <f t="shared" ref="R21:R23" si="18">-K21*$F21/3.1415927*180</f>
        <v>-129.6</v>
      </c>
      <c r="S21">
        <f t="shared" ref="S21:S23" si="19">L21*$F21/3.1415927*180</f>
        <v>0</v>
      </c>
      <c r="V21">
        <f t="shared" ref="V21:V23" si="20">IF(G21=100,H21,IF(G21=-100,-H21,IF(G21&lt;0,H21*(100+G21)/100,H21)))</f>
        <v>50</v>
      </c>
      <c r="W21">
        <f t="shared" ref="W21:W23" si="21">IF(G21=100,-H21,IF(G21=-100,H21,IF(G21&gt;0,H21*(100-G21)/100,H21)))</f>
        <v>0.5</v>
      </c>
    </row>
    <row r="22" spans="1:23" x14ac:dyDescent="0.55000000000000004">
      <c r="A22">
        <v>0</v>
      </c>
      <c r="B22">
        <v>0</v>
      </c>
      <c r="C22">
        <f>-3.1415927/2</f>
        <v>-1.57079635</v>
      </c>
      <c r="D22" t="s">
        <v>0</v>
      </c>
      <c r="E22" t="s">
        <v>4</v>
      </c>
      <c r="F22">
        <v>0.32</v>
      </c>
      <c r="G22">
        <v>99</v>
      </c>
      <c r="H22">
        <v>50</v>
      </c>
      <c r="I22">
        <f>SIGN(V22)*SUMIF(abaqus!A:A,CONCATENATE("=",ABS(V22)),abaqus!B:B)</f>
        <v>7.0685835749999999</v>
      </c>
      <c r="J22">
        <f>SIGN(W22)*SUMIF(abaqus!A:A,CONCATENATE("=",ABS(W22)),abaqus!B:B)</f>
        <v>0</v>
      </c>
      <c r="K22">
        <f>IF(D22="E",I22,0)+IF(E22="E",-J22,0)</f>
        <v>7.0685835749999999</v>
      </c>
      <c r="L22">
        <f>IF(D22="F",-I22,0)+IF(E22="F",J22,0)</f>
        <v>0</v>
      </c>
      <c r="M22">
        <f t="shared" si="16"/>
        <v>9.8960170049999991</v>
      </c>
      <c r="N22">
        <f t="shared" si="17"/>
        <v>2.4926994974811079</v>
      </c>
      <c r="O22">
        <v>-44.297229219144654</v>
      </c>
      <c r="P22">
        <v>1.197426612770836</v>
      </c>
      <c r="Q22">
        <v>-2.8414366848691373</v>
      </c>
      <c r="R22">
        <f t="shared" si="18"/>
        <v>-129.6</v>
      </c>
      <c r="S22">
        <f t="shared" si="19"/>
        <v>0</v>
      </c>
      <c r="V22">
        <f t="shared" si="20"/>
        <v>50</v>
      </c>
      <c r="W22">
        <f t="shared" si="21"/>
        <v>0.5</v>
      </c>
    </row>
    <row r="23" spans="1:23" x14ac:dyDescent="0.55000000000000004">
      <c r="A23">
        <v>0</v>
      </c>
      <c r="B23">
        <v>0</v>
      </c>
      <c r="C23">
        <f>3.1415927</f>
        <v>3.1415926999999999</v>
      </c>
      <c r="D23" t="s">
        <v>0</v>
      </c>
      <c r="E23" t="s">
        <v>4</v>
      </c>
      <c r="F23">
        <v>0.32</v>
      </c>
      <c r="G23">
        <v>99</v>
      </c>
      <c r="H23">
        <v>50</v>
      </c>
      <c r="I23">
        <f>SIGN(V23)*SUMIF(abaqus!A:A,CONCATENATE("=",ABS(V23)),abaqus!B:B)</f>
        <v>7.0685835749999999</v>
      </c>
      <c r="J23">
        <f>SIGN(W23)*SUMIF(abaqus!A:A,CONCATENATE("=",ABS(W23)),abaqus!B:B)</f>
        <v>0</v>
      </c>
      <c r="K23">
        <f>IF(D23="E",I23,0)+IF(E23="E",-J23,0)</f>
        <v>7.0685835749999999</v>
      </c>
      <c r="L23">
        <f>IF(D23="F",-I23,0)+IF(E23="F",J23,0)</f>
        <v>0</v>
      </c>
      <c r="M23">
        <f t="shared" si="16"/>
        <v>9.8960170049999991</v>
      </c>
      <c r="N23">
        <f t="shared" si="17"/>
        <v>2.4926994974811079</v>
      </c>
      <c r="O23">
        <v>225.70277078086229</v>
      </c>
      <c r="P23">
        <v>-2.8414366015097956</v>
      </c>
      <c r="Q23">
        <v>-1.1974268105785106</v>
      </c>
      <c r="R23">
        <f t="shared" si="18"/>
        <v>-129.6</v>
      </c>
      <c r="S23">
        <f t="shared" si="19"/>
        <v>0</v>
      </c>
      <c r="V23">
        <f t="shared" si="20"/>
        <v>50</v>
      </c>
      <c r="W23">
        <f t="shared" si="21"/>
        <v>0.5</v>
      </c>
    </row>
    <row r="24" spans="1:23" x14ac:dyDescent="0.55000000000000004">
      <c r="A24">
        <v>-20</v>
      </c>
      <c r="B24">
        <v>35</v>
      </c>
      <c r="C24">
        <v>0</v>
      </c>
      <c r="D24" t="s">
        <v>0</v>
      </c>
      <c r="E24" t="s">
        <v>4</v>
      </c>
      <c r="F24">
        <v>0.64</v>
      </c>
      <c r="G24">
        <v>0</v>
      </c>
      <c r="H24">
        <v>20</v>
      </c>
      <c r="I24">
        <f>SIGN(V24)*SUMIF(abaqus!A:A,CONCATENATE("=",ABS(V24)),abaqus!B:B)</f>
        <v>2.8274334300000001</v>
      </c>
      <c r="J24">
        <f>SIGN(W24)*SUMIF(abaqus!A:A,CONCATENATE("=",ABS(W24)),abaqus!B:B)</f>
        <v>2.8274334300000001</v>
      </c>
      <c r="K24">
        <f>IF(D24="E",I24,0)+IF(E24="E",-J24,0)</f>
        <v>2.8274334300000001</v>
      </c>
      <c r="L24">
        <f>IF(D24="F",-I24,0)+IF(E24="F",J24,0)</f>
        <v>2.8274334300000001</v>
      </c>
      <c r="M24">
        <f>(K24+L24)*0.5*5.6/2</f>
        <v>7.9168136039999997</v>
      </c>
      <c r="N24">
        <f>(K24-L24)/3.97/2*5.6/2</f>
        <v>0</v>
      </c>
      <c r="O24">
        <v>0</v>
      </c>
      <c r="P24">
        <v>-14.933239293440549</v>
      </c>
      <c r="Q24">
        <v>35</v>
      </c>
      <c r="R24">
        <f t="shared" si="2"/>
        <v>-103.68</v>
      </c>
      <c r="S24">
        <f t="shared" ref="S24:S28" si="22">L24*$F24/3.1415927*180</f>
        <v>103.68</v>
      </c>
      <c r="V24">
        <f t="shared" si="4"/>
        <v>20</v>
      </c>
      <c r="W24">
        <f t="shared" si="5"/>
        <v>20</v>
      </c>
    </row>
    <row r="25" spans="1:23" x14ac:dyDescent="0.55000000000000004">
      <c r="A25">
        <v>-20</v>
      </c>
      <c r="B25">
        <v>35</v>
      </c>
      <c r="C25">
        <f>3.1415927/2</f>
        <v>1.57079635</v>
      </c>
      <c r="D25" t="s">
        <v>0</v>
      </c>
      <c r="E25" t="s">
        <v>4</v>
      </c>
      <c r="F25">
        <v>0.64</v>
      </c>
      <c r="G25">
        <v>0</v>
      </c>
      <c r="H25">
        <v>20</v>
      </c>
      <c r="I25">
        <f>SIGN(V25)*SUMIF(abaqus!A:A,CONCATENATE("=",ABS(V25)),abaqus!B:B)</f>
        <v>2.8274334300000001</v>
      </c>
      <c r="J25">
        <f>SIGN(W25)*SUMIF(abaqus!A:A,CONCATENATE("=",ABS(W25)),abaqus!B:B)</f>
        <v>2.8274334300000001</v>
      </c>
      <c r="K25">
        <f>IF(D25="E",I25,0)+IF(E25="E",-J25,0)</f>
        <v>2.8274334300000001</v>
      </c>
      <c r="L25">
        <f>IF(D25="F",-I25,0)+IF(E25="F",J25,0)</f>
        <v>2.8274334300000001</v>
      </c>
      <c r="M25">
        <f>(K25+L25)*0.5*5.6/2</f>
        <v>7.9168136039999997</v>
      </c>
      <c r="N25">
        <f>(K25-L25)/3.97/2*5.6/2</f>
        <v>0</v>
      </c>
      <c r="O25">
        <v>90</v>
      </c>
      <c r="P25">
        <v>-20.000000117574928</v>
      </c>
      <c r="Q25">
        <v>40.066760706558973</v>
      </c>
      <c r="R25">
        <f t="shared" si="2"/>
        <v>-103.68</v>
      </c>
      <c r="S25">
        <f t="shared" si="22"/>
        <v>103.68</v>
      </c>
      <c r="V25">
        <f t="shared" si="4"/>
        <v>20</v>
      </c>
      <c r="W25">
        <f t="shared" si="5"/>
        <v>20</v>
      </c>
    </row>
    <row r="26" spans="1:23" x14ac:dyDescent="0.55000000000000004">
      <c r="A26">
        <v>-20</v>
      </c>
      <c r="B26">
        <v>35</v>
      </c>
      <c r="C26">
        <f>-3.1415927/2</f>
        <v>-1.57079635</v>
      </c>
      <c r="D26" t="s">
        <v>0</v>
      </c>
      <c r="E26" t="s">
        <v>4</v>
      </c>
      <c r="F26">
        <v>0.64</v>
      </c>
      <c r="G26">
        <v>0</v>
      </c>
      <c r="H26">
        <v>20</v>
      </c>
      <c r="I26">
        <f>SIGN(V26)*SUMIF(abaqus!A:A,CONCATENATE("=",ABS(V26)),abaqus!B:B)</f>
        <v>2.8274334300000001</v>
      </c>
      <c r="J26">
        <f>SIGN(W26)*SUMIF(abaqus!A:A,CONCATENATE("=",ABS(W26)),abaqus!B:B)</f>
        <v>2.8274334300000001</v>
      </c>
      <c r="K26">
        <f>IF(D26="E",I26,0)+IF(E26="E",-J26,0)</f>
        <v>2.8274334300000001</v>
      </c>
      <c r="L26">
        <f>IF(D26="F",-I26,0)+IF(E26="F",J26,0)</f>
        <v>2.8274334300000001</v>
      </c>
      <c r="M26">
        <f>(K26+L26)*0.5*5.6/2</f>
        <v>7.9168136039999997</v>
      </c>
      <c r="N26">
        <f>(K26-L26)/3.97/2*5.6/2</f>
        <v>0</v>
      </c>
      <c r="O26">
        <v>-90</v>
      </c>
      <c r="P26">
        <v>-20.000000117574928</v>
      </c>
      <c r="Q26">
        <v>29.933239293441027</v>
      </c>
      <c r="R26">
        <f t="shared" si="2"/>
        <v>-103.68</v>
      </c>
      <c r="S26">
        <f t="shared" si="22"/>
        <v>103.68</v>
      </c>
      <c r="V26">
        <f t="shared" si="4"/>
        <v>20</v>
      </c>
      <c r="W26">
        <f t="shared" si="5"/>
        <v>20</v>
      </c>
    </row>
    <row r="27" spans="1:23" x14ac:dyDescent="0.55000000000000004">
      <c r="A27">
        <v>-20</v>
      </c>
      <c r="B27">
        <v>35</v>
      </c>
      <c r="C27">
        <f>3.1415927</f>
        <v>3.1415926999999999</v>
      </c>
      <c r="D27" t="s">
        <v>0</v>
      </c>
      <c r="E27" t="s">
        <v>4</v>
      </c>
      <c r="F27">
        <v>0.64</v>
      </c>
      <c r="G27">
        <v>0</v>
      </c>
      <c r="H27">
        <v>20</v>
      </c>
      <c r="I27">
        <f>SIGN(V27)*SUMIF(abaqus!A:A,CONCATENATE("=",ABS(V27)),abaqus!B:B)</f>
        <v>2.8274334300000001</v>
      </c>
      <c r="J27">
        <f>SIGN(W27)*SUMIF(abaqus!A:A,CONCATENATE("=",ABS(W27)),abaqus!B:B)</f>
        <v>2.8274334300000001</v>
      </c>
      <c r="K27">
        <f>IF(D27="E",I27,0)+IF(E27="E",-J27,0)</f>
        <v>2.8274334300000001</v>
      </c>
      <c r="L27">
        <f>IF(D27="F",-I27,0)+IF(E27="F",J27,0)</f>
        <v>2.8274334300000001</v>
      </c>
      <c r="M27">
        <f>(K27+L27)*0.5*5.6/2</f>
        <v>7.9168136039999997</v>
      </c>
      <c r="N27">
        <f>(K27-L27)/3.97/2*5.6/2</f>
        <v>0</v>
      </c>
      <c r="O27">
        <v>180</v>
      </c>
      <c r="P27">
        <v>-25.066760706558973</v>
      </c>
      <c r="Q27">
        <v>34.999999764850145</v>
      </c>
      <c r="R27">
        <f t="shared" si="2"/>
        <v>-103.68</v>
      </c>
      <c r="S27">
        <f t="shared" si="22"/>
        <v>103.68</v>
      </c>
      <c r="V27">
        <f t="shared" si="4"/>
        <v>20</v>
      </c>
      <c r="W27">
        <f t="shared" si="5"/>
        <v>20</v>
      </c>
    </row>
    <row r="28" spans="1:23" x14ac:dyDescent="0.55000000000000004">
      <c r="A28">
        <v>-20</v>
      </c>
      <c r="B28">
        <v>35</v>
      </c>
      <c r="C28">
        <v>0</v>
      </c>
      <c r="D28" t="s">
        <v>0</v>
      </c>
      <c r="E28" t="s">
        <v>4</v>
      </c>
      <c r="F28">
        <v>0.64</v>
      </c>
      <c r="G28">
        <v>100</v>
      </c>
      <c r="H28">
        <v>50</v>
      </c>
      <c r="I28">
        <f>SIGN(V28)*SUMIF(abaqus!A:A,CONCATENATE("=",ABS(V28)),abaqus!B:B)</f>
        <v>7.0685835749999999</v>
      </c>
      <c r="J28">
        <f>SIGN(W28)*SUMIF(abaqus!A:A,CONCATENATE("=",ABS(W28)),abaqus!B:B)</f>
        <v>-7.0685835749999999</v>
      </c>
      <c r="K28">
        <f>IF(D28="E",I28,0)+IF(E28="E",-J28,0)</f>
        <v>7.0685835749999999</v>
      </c>
      <c r="L28">
        <f>IF(D28="F",-I28,0)+IF(E28="F",J28,0)</f>
        <v>-7.0685835749999999</v>
      </c>
      <c r="M28">
        <f>(K28+L28)*0.5*5.6/2</f>
        <v>0</v>
      </c>
      <c r="N28">
        <f>(K28-L28)/3.97/2*5.6/2</f>
        <v>4.9853989949622157</v>
      </c>
      <c r="O28">
        <v>182.81108312342889</v>
      </c>
      <c r="P28">
        <v>-20</v>
      </c>
      <c r="Q28">
        <v>35</v>
      </c>
      <c r="R28">
        <f t="shared" si="2"/>
        <v>-259.2</v>
      </c>
      <c r="S28">
        <f t="shared" si="22"/>
        <v>-259.2</v>
      </c>
      <c r="V28">
        <f t="shared" si="4"/>
        <v>50</v>
      </c>
      <c r="W28">
        <f t="shared" si="5"/>
        <v>-50</v>
      </c>
    </row>
    <row r="29" spans="1:23" x14ac:dyDescent="0.55000000000000004">
      <c r="A29">
        <v>-20</v>
      </c>
      <c r="B29">
        <v>35</v>
      </c>
      <c r="C29">
        <f>3.1415927/2</f>
        <v>1.57079635</v>
      </c>
      <c r="D29" t="s">
        <v>0</v>
      </c>
      <c r="E29" t="s">
        <v>4</v>
      </c>
      <c r="F29">
        <v>0.32</v>
      </c>
      <c r="G29">
        <v>100</v>
      </c>
      <c r="H29">
        <v>50</v>
      </c>
      <c r="I29">
        <f>SIGN(V29)*SUMIF(abaqus!A:A,CONCATENATE("=",ABS(V29)),abaqus!B:B)</f>
        <v>7.0685835749999999</v>
      </c>
      <c r="J29">
        <f>SIGN(W29)*SUMIF(abaqus!A:A,CONCATENATE("=",ABS(W29)),abaqus!B:B)</f>
        <v>-7.0685835749999999</v>
      </c>
      <c r="K29">
        <f>IF(D29="E",I29,0)+IF(E29="E",-J29,0)</f>
        <v>7.0685835749999999</v>
      </c>
      <c r="L29">
        <f>IF(D29="F",-I29,0)+IF(E29="F",J29,0)</f>
        <v>-7.0685835749999999</v>
      </c>
      <c r="M29">
        <f t="shared" ref="M29:M36" si="23">(K29+L29)*0.5*5.6/2</f>
        <v>0</v>
      </c>
      <c r="N29">
        <f t="shared" ref="N29:N36" si="24">(K29-L29)/3.97/2*5.6/2</f>
        <v>4.9853989949622157</v>
      </c>
      <c r="O29">
        <v>181.40554156171058</v>
      </c>
      <c r="P29">
        <v>-20</v>
      </c>
      <c r="Q29">
        <v>35</v>
      </c>
      <c r="R29">
        <f t="shared" si="2"/>
        <v>-129.6</v>
      </c>
      <c r="S29">
        <f t="shared" ref="S29:S36" si="25">L29*$F29/3.1415927*180</f>
        <v>-129.6</v>
      </c>
      <c r="V29">
        <f t="shared" si="4"/>
        <v>50</v>
      </c>
      <c r="W29">
        <f t="shared" si="5"/>
        <v>-50</v>
      </c>
    </row>
    <row r="30" spans="1:23" x14ac:dyDescent="0.55000000000000004">
      <c r="A30">
        <v>-20</v>
      </c>
      <c r="B30">
        <v>35</v>
      </c>
      <c r="C30">
        <f>-3.1415927/2</f>
        <v>-1.57079635</v>
      </c>
      <c r="D30" t="s">
        <v>0</v>
      </c>
      <c r="E30" t="s">
        <v>4</v>
      </c>
      <c r="F30">
        <v>0.32</v>
      </c>
      <c r="G30">
        <v>100</v>
      </c>
      <c r="H30">
        <v>50</v>
      </c>
      <c r="I30">
        <f>SIGN(V30)*SUMIF(abaqus!A:A,CONCATENATE("=",ABS(V30)),abaqus!B:B)</f>
        <v>7.0685835749999999</v>
      </c>
      <c r="J30">
        <f>SIGN(W30)*SUMIF(abaqus!A:A,CONCATENATE("=",ABS(W30)),abaqus!B:B)</f>
        <v>-7.0685835749999999</v>
      </c>
      <c r="K30">
        <f>IF(D30="E",I30,0)+IF(E30="E",-J30,0)</f>
        <v>7.0685835749999999</v>
      </c>
      <c r="L30">
        <f>IF(D30="F",-I30,0)+IF(E30="F",J30,0)</f>
        <v>-7.0685835749999999</v>
      </c>
      <c r="M30">
        <f t="shared" si="23"/>
        <v>0</v>
      </c>
      <c r="N30">
        <f t="shared" si="24"/>
        <v>4.9853989949622157</v>
      </c>
      <c r="O30">
        <v>1.4055415617139311</v>
      </c>
      <c r="P30">
        <v>-20</v>
      </c>
      <c r="Q30">
        <v>35</v>
      </c>
      <c r="R30">
        <f t="shared" si="2"/>
        <v>-129.6</v>
      </c>
      <c r="S30">
        <f t="shared" si="25"/>
        <v>-129.6</v>
      </c>
      <c r="V30">
        <f t="shared" si="4"/>
        <v>50</v>
      </c>
      <c r="W30">
        <f t="shared" si="5"/>
        <v>-50</v>
      </c>
    </row>
    <row r="31" spans="1:23" x14ac:dyDescent="0.55000000000000004">
      <c r="A31">
        <v>-20</v>
      </c>
      <c r="B31">
        <v>35</v>
      </c>
      <c r="C31">
        <f>3.1415927</f>
        <v>3.1415926999999999</v>
      </c>
      <c r="D31" t="s">
        <v>0</v>
      </c>
      <c r="E31" t="s">
        <v>4</v>
      </c>
      <c r="F31">
        <v>0.32</v>
      </c>
      <c r="G31">
        <v>100</v>
      </c>
      <c r="H31">
        <v>50</v>
      </c>
      <c r="I31">
        <f>SIGN(V31)*SUMIF(abaqus!A:A,CONCATENATE("=",ABS(V31)),abaqus!B:B)</f>
        <v>7.0685835749999999</v>
      </c>
      <c r="J31">
        <f>SIGN(W31)*SUMIF(abaqus!A:A,CONCATENATE("=",ABS(W31)),abaqus!B:B)</f>
        <v>-7.0685835749999999</v>
      </c>
      <c r="K31">
        <f>IF(D31="E",I31,0)+IF(E31="E",-J31,0)</f>
        <v>7.0685835749999999</v>
      </c>
      <c r="L31">
        <f>IF(D31="F",-I31,0)+IF(E31="F",J31,0)</f>
        <v>-7.0685835749999999</v>
      </c>
      <c r="M31">
        <f t="shared" si="23"/>
        <v>0</v>
      </c>
      <c r="N31">
        <f t="shared" si="24"/>
        <v>4.9853989949622157</v>
      </c>
      <c r="O31">
        <v>271.40554156171584</v>
      </c>
      <c r="P31">
        <v>-20</v>
      </c>
      <c r="Q31">
        <v>35</v>
      </c>
      <c r="R31">
        <f t="shared" si="2"/>
        <v>-129.6</v>
      </c>
      <c r="S31">
        <f t="shared" si="25"/>
        <v>-129.6</v>
      </c>
      <c r="V31">
        <f t="shared" si="4"/>
        <v>50</v>
      </c>
      <c r="W31">
        <f t="shared" si="5"/>
        <v>-50</v>
      </c>
    </row>
    <row r="32" spans="1:23" x14ac:dyDescent="0.55000000000000004">
      <c r="A32">
        <v>-20</v>
      </c>
      <c r="B32">
        <v>35</v>
      </c>
      <c r="C32">
        <v>0</v>
      </c>
      <c r="D32" t="s">
        <v>0</v>
      </c>
      <c r="E32" t="s">
        <v>4</v>
      </c>
      <c r="F32">
        <v>0.64</v>
      </c>
      <c r="G32">
        <v>99</v>
      </c>
      <c r="H32">
        <v>50</v>
      </c>
      <c r="I32">
        <f>SIGN(V32)*SUMIF(abaqus!A:A,CONCATENATE("=",ABS(V32)),abaqus!B:B)</f>
        <v>7.0685835749999999</v>
      </c>
      <c r="J32">
        <f>SIGN(W32)*SUMIF(abaqus!A:A,CONCATENATE("=",ABS(W32)),abaqus!B:B)</f>
        <v>0</v>
      </c>
      <c r="K32">
        <f>IF(D32="E",I32,0)+IF(E32="E",-J32,0)</f>
        <v>7.0685835749999999</v>
      </c>
      <c r="L32">
        <f>IF(D32="F",-I32,0)+IF(E32="F",J32,0)</f>
        <v>0</v>
      </c>
      <c r="M32">
        <f>(K32+L32)*0.5*5.6/2</f>
        <v>9.8960170049999991</v>
      </c>
      <c r="N32">
        <f>(K32-L32)/3.97/2*5.6/2</f>
        <v>2.4926994974811079</v>
      </c>
      <c r="O32">
        <v>91.405541561714443</v>
      </c>
      <c r="P32">
        <v>-16.031194230830813</v>
      </c>
      <c r="Q32">
        <v>39.067379961421615</v>
      </c>
      <c r="R32">
        <f t="shared" ref="R32:R35" si="26">-K32*$F32/3.1415927*180</f>
        <v>-259.2</v>
      </c>
      <c r="S32">
        <f t="shared" si="25"/>
        <v>0</v>
      </c>
      <c r="V32">
        <f t="shared" ref="V32:V35" si="27">IF(G32=100,H32,IF(G32=-100,-H32,IF(G32&lt;0,H32*(100+G32)/100,H32)))</f>
        <v>50</v>
      </c>
      <c r="W32">
        <f t="shared" ref="W32:W35" si="28">IF(G32=100,-H32,IF(G32=-100,H32,IF(G32&gt;0,H32*(100-G32)/100,H32)))</f>
        <v>0.5</v>
      </c>
    </row>
    <row r="33" spans="1:23" x14ac:dyDescent="0.55000000000000004">
      <c r="A33">
        <v>-20</v>
      </c>
      <c r="B33">
        <v>35</v>
      </c>
      <c r="C33">
        <f>3.1415927/2</f>
        <v>1.57079635</v>
      </c>
      <c r="D33" t="s">
        <v>0</v>
      </c>
      <c r="E33" t="s">
        <v>4</v>
      </c>
      <c r="F33">
        <v>0.32</v>
      </c>
      <c r="G33">
        <v>99</v>
      </c>
      <c r="H33">
        <v>50</v>
      </c>
      <c r="I33">
        <f>SIGN(V33)*SUMIF(abaqus!A:A,CONCATENATE("=",ABS(V33)),abaqus!B:B)</f>
        <v>7.0685835749999999</v>
      </c>
      <c r="J33">
        <f>SIGN(W33)*SUMIF(abaqus!A:A,CONCATENATE("=",ABS(W33)),abaqus!B:B)</f>
        <v>0</v>
      </c>
      <c r="K33">
        <f>IF(D33="E",I33,0)+IF(E33="E",-J33,0)</f>
        <v>7.0685835749999999</v>
      </c>
      <c r="L33">
        <f>IF(D33="F",-I33,0)+IF(E33="F",J33,0)</f>
        <v>0</v>
      </c>
      <c r="M33">
        <f t="shared" ref="M33:M35" si="29">(K33+L33)*0.5*5.6/2</f>
        <v>9.8960170049999991</v>
      </c>
      <c r="N33">
        <f t="shared" ref="N33:N35" si="30">(K33-L33)/3.97/2*5.6/2</f>
        <v>2.4926994974811079</v>
      </c>
      <c r="O33">
        <v>135.70277078085792</v>
      </c>
      <c r="P33">
        <v>-21.197426744642524</v>
      </c>
      <c r="Q33">
        <v>37.841436629296339</v>
      </c>
      <c r="R33">
        <f t="shared" si="26"/>
        <v>-129.6</v>
      </c>
      <c r="S33">
        <f t="shared" ref="S33:S35" si="31">L33*$F33/3.1415927*180</f>
        <v>0</v>
      </c>
      <c r="V33">
        <f t="shared" si="27"/>
        <v>50</v>
      </c>
      <c r="W33">
        <f t="shared" si="28"/>
        <v>0.5</v>
      </c>
    </row>
    <row r="34" spans="1:23" x14ac:dyDescent="0.55000000000000004">
      <c r="A34">
        <v>-20</v>
      </c>
      <c r="B34">
        <v>35</v>
      </c>
      <c r="C34">
        <f>-3.1415927/2</f>
        <v>-1.57079635</v>
      </c>
      <c r="D34" t="s">
        <v>0</v>
      </c>
      <c r="E34" t="s">
        <v>4</v>
      </c>
      <c r="F34">
        <v>0.32</v>
      </c>
      <c r="G34">
        <v>99</v>
      </c>
      <c r="H34">
        <v>50</v>
      </c>
      <c r="I34">
        <f>SIGN(V34)*SUMIF(abaqus!A:A,CONCATENATE("=",ABS(V34)),abaqus!B:B)</f>
        <v>7.0685835749999999</v>
      </c>
      <c r="J34">
        <f>SIGN(W34)*SUMIF(abaqus!A:A,CONCATENATE("=",ABS(W34)),abaqus!B:B)</f>
        <v>0</v>
      </c>
      <c r="K34">
        <f>IF(D34="E",I34,0)+IF(E34="E",-J34,0)</f>
        <v>7.0685835749999999</v>
      </c>
      <c r="L34">
        <f>IF(D34="F",-I34,0)+IF(E34="F",J34,0)</f>
        <v>0</v>
      </c>
      <c r="M34">
        <f t="shared" si="29"/>
        <v>9.8960170049999991</v>
      </c>
      <c r="N34">
        <f t="shared" si="30"/>
        <v>2.4926994974811079</v>
      </c>
      <c r="O34">
        <v>-44.297229219144654</v>
      </c>
      <c r="P34">
        <v>-18.802573387229177</v>
      </c>
      <c r="Q34">
        <v>32.15856331513092</v>
      </c>
      <c r="R34">
        <f t="shared" si="26"/>
        <v>-129.6</v>
      </c>
      <c r="S34">
        <f t="shared" si="31"/>
        <v>0</v>
      </c>
      <c r="V34">
        <f t="shared" si="27"/>
        <v>50</v>
      </c>
      <c r="W34">
        <f t="shared" si="28"/>
        <v>0.5</v>
      </c>
    </row>
    <row r="35" spans="1:23" x14ac:dyDescent="0.55000000000000004">
      <c r="A35">
        <v>-20</v>
      </c>
      <c r="B35">
        <v>35</v>
      </c>
      <c r="C35">
        <f>3.1415927</f>
        <v>3.1415926999999999</v>
      </c>
      <c r="D35" t="s">
        <v>0</v>
      </c>
      <c r="E35" t="s">
        <v>4</v>
      </c>
      <c r="F35">
        <v>0.32</v>
      </c>
      <c r="G35">
        <v>99</v>
      </c>
      <c r="H35">
        <v>50</v>
      </c>
      <c r="I35">
        <f>SIGN(V35)*SUMIF(abaqus!A:A,CONCATENATE("=",ABS(V35)),abaqus!B:B)</f>
        <v>7.0685835749999999</v>
      </c>
      <c r="J35">
        <f>SIGN(W35)*SUMIF(abaqus!A:A,CONCATENATE("=",ABS(W35)),abaqus!B:B)</f>
        <v>0</v>
      </c>
      <c r="K35">
        <f>IF(D35="E",I35,0)+IF(E35="E",-J35,0)</f>
        <v>7.0685835749999999</v>
      </c>
      <c r="L35">
        <f>IF(D35="F",-I35,0)+IF(E35="F",J35,0)</f>
        <v>0</v>
      </c>
      <c r="M35">
        <f t="shared" si="29"/>
        <v>9.8960170049999991</v>
      </c>
      <c r="N35">
        <f t="shared" si="30"/>
        <v>2.4926994974811079</v>
      </c>
      <c r="O35">
        <v>225.70277078086229</v>
      </c>
      <c r="P35">
        <v>-22.841436601509805</v>
      </c>
      <c r="Q35">
        <v>33.802573189421459</v>
      </c>
      <c r="R35">
        <f t="shared" si="26"/>
        <v>-129.6</v>
      </c>
      <c r="S35">
        <f t="shared" si="31"/>
        <v>0</v>
      </c>
      <c r="V35">
        <f t="shared" si="27"/>
        <v>50</v>
      </c>
      <c r="W35">
        <f t="shared" si="28"/>
        <v>0.5</v>
      </c>
    </row>
    <row r="36" spans="1:23" x14ac:dyDescent="0.55000000000000004">
      <c r="A36">
        <v>-20</v>
      </c>
      <c r="B36">
        <v>35</v>
      </c>
      <c r="C36">
        <f>3.1415927/2</f>
        <v>1.57079635</v>
      </c>
      <c r="D36" t="s">
        <v>0</v>
      </c>
      <c r="E36" t="s">
        <v>4</v>
      </c>
      <c r="F36">
        <v>0.32</v>
      </c>
      <c r="G36">
        <v>50</v>
      </c>
      <c r="H36">
        <v>50</v>
      </c>
      <c r="I36">
        <f>SIGN(V36)*SUMIF(abaqus!A:A,CONCATENATE("=",ABS(V36)),abaqus!B:B)</f>
        <v>7.0685835749999999</v>
      </c>
      <c r="J36">
        <f>SIGN(W36)*SUMIF(abaqus!A:A,CONCATENATE("=",ABS(W36)),abaqus!B:B)</f>
        <v>3.534291788</v>
      </c>
      <c r="K36">
        <f>IF(D36="E",I36,0)+IF(E36="E",-J36,0)</f>
        <v>7.0685835749999999</v>
      </c>
      <c r="L36">
        <f>IF(D36="F",-I36,0)+IF(E36="F",J36,0)</f>
        <v>3.534291788</v>
      </c>
      <c r="M36">
        <f t="shared" si="23"/>
        <v>14.844025508199998</v>
      </c>
      <c r="N36">
        <f t="shared" si="24"/>
        <v>1.2463497485642316</v>
      </c>
      <c r="O36">
        <v>112.85138538719869</v>
      </c>
      <c r="P36">
        <v>-20.93475151245438</v>
      </c>
      <c r="Q36">
        <v>39.625156595278483</v>
      </c>
      <c r="R36">
        <f t="shared" si="2"/>
        <v>-129.6</v>
      </c>
      <c r="S36">
        <f t="shared" si="25"/>
        <v>64.80000000916732</v>
      </c>
      <c r="V36">
        <f t="shared" si="4"/>
        <v>50</v>
      </c>
      <c r="W36">
        <f t="shared" si="5"/>
        <v>25</v>
      </c>
    </row>
    <row r="37" spans="1:23" x14ac:dyDescent="0.55000000000000004">
      <c r="A37">
        <v>-20</v>
      </c>
      <c r="B37">
        <v>35</v>
      </c>
      <c r="C37">
        <f>3.1415927/2</f>
        <v>1.57079635</v>
      </c>
      <c r="D37" t="s">
        <v>0</v>
      </c>
      <c r="E37" t="s">
        <v>4</v>
      </c>
      <c r="F37">
        <v>0.32</v>
      </c>
      <c r="G37">
        <v>50</v>
      </c>
      <c r="H37">
        <v>50</v>
      </c>
      <c r="I37">
        <f>SIGN(V37)*SUMIF(abaqus!A:A,CONCATENATE("=",ABS(V37)),abaqus!B:B)</f>
        <v>7.0685835749999999</v>
      </c>
      <c r="J37">
        <f>SIGN(W37)*SUMIF(abaqus!A:A,CONCATENATE("=",ABS(W37)),abaqus!B:B)</f>
        <v>3.534291788</v>
      </c>
      <c r="K37">
        <f>IF(D37="E",I37,0)+IF(E37="E",-J37,0)</f>
        <v>7.0685835749999999</v>
      </c>
      <c r="L37">
        <f>IF(D37="F",-I37,0)+IF(E37="F",J37,0)</f>
        <v>3.534291788</v>
      </c>
      <c r="M37">
        <f t="shared" ref="M37:M39" si="32">(K37+L37)*0.5*5.6/2</f>
        <v>14.844025508199998</v>
      </c>
      <c r="N37">
        <f t="shared" ref="N37:N39" si="33">(K37-L37)/3.97/2*5.6/2</f>
        <v>1.2463497485642316</v>
      </c>
      <c r="O37">
        <v>112.85138538719869</v>
      </c>
      <c r="P37">
        <v>-20.93475151245438</v>
      </c>
      <c r="Q37">
        <v>39.625156595278483</v>
      </c>
      <c r="R37">
        <f t="shared" si="2"/>
        <v>-129.6</v>
      </c>
      <c r="S37">
        <f t="shared" ref="S37:S39" si="34">L37*$F37/3.1415927*180</f>
        <v>64.80000000916732</v>
      </c>
      <c r="V37">
        <f t="shared" si="4"/>
        <v>50</v>
      </c>
      <c r="W37">
        <f t="shared" si="5"/>
        <v>25</v>
      </c>
    </row>
    <row r="38" spans="1:23" x14ac:dyDescent="0.55000000000000004">
      <c r="A38">
        <v>-20</v>
      </c>
      <c r="B38">
        <v>35</v>
      </c>
      <c r="C38">
        <f>-3.1415927/2</f>
        <v>-1.57079635</v>
      </c>
      <c r="D38" t="s">
        <v>0</v>
      </c>
      <c r="E38" t="s">
        <v>4</v>
      </c>
      <c r="F38">
        <v>0.32</v>
      </c>
      <c r="G38">
        <v>50</v>
      </c>
      <c r="H38">
        <v>50</v>
      </c>
      <c r="I38">
        <f>SIGN(V38)*SUMIF(abaqus!A:A,CONCATENATE("=",ABS(V38)),abaqus!B:B)</f>
        <v>7.0685835749999999</v>
      </c>
      <c r="J38">
        <f>SIGN(W38)*SUMIF(abaqus!A:A,CONCATENATE("=",ABS(W38)),abaqus!B:B)</f>
        <v>3.534291788</v>
      </c>
      <c r="K38">
        <f>IF(D38="E",I38,0)+IF(E38="E",-J38,0)</f>
        <v>7.0685835749999999</v>
      </c>
      <c r="L38">
        <f>IF(D38="F",-I38,0)+IF(E38="F",J38,0)</f>
        <v>3.534291788</v>
      </c>
      <c r="M38">
        <f t="shared" si="32"/>
        <v>14.844025508199998</v>
      </c>
      <c r="N38">
        <f t="shared" si="33"/>
        <v>1.2463497485642316</v>
      </c>
      <c r="O38">
        <v>-67.14861461280131</v>
      </c>
      <c r="P38">
        <v>-19.065248702200165</v>
      </c>
      <c r="Q38">
        <v>30.374843361339558</v>
      </c>
      <c r="R38">
        <f t="shared" si="2"/>
        <v>-129.6</v>
      </c>
      <c r="S38">
        <f t="shared" si="34"/>
        <v>64.80000000916732</v>
      </c>
      <c r="V38">
        <f t="shared" si="4"/>
        <v>50</v>
      </c>
      <c r="W38">
        <f t="shared" si="5"/>
        <v>25</v>
      </c>
    </row>
    <row r="39" spans="1:23" x14ac:dyDescent="0.55000000000000004">
      <c r="A39">
        <v>-20</v>
      </c>
      <c r="B39">
        <v>35</v>
      </c>
      <c r="C39">
        <f>3.1415927</f>
        <v>3.1415926999999999</v>
      </c>
      <c r="D39" t="s">
        <v>0</v>
      </c>
      <c r="E39" t="s">
        <v>4</v>
      </c>
      <c r="F39">
        <v>0.32</v>
      </c>
      <c r="G39">
        <v>50</v>
      </c>
      <c r="H39">
        <v>50</v>
      </c>
      <c r="I39">
        <f>SIGN(V39)*SUMIF(abaqus!A:A,CONCATENATE("=",ABS(V39)),abaqus!B:B)</f>
        <v>7.0685835749999999</v>
      </c>
      <c r="J39">
        <f>SIGN(W39)*SUMIF(abaqus!A:A,CONCATENATE("=",ABS(W39)),abaqus!B:B)</f>
        <v>3.534291788</v>
      </c>
      <c r="K39">
        <f>IF(D39="E",I39,0)+IF(E39="E",-J39,0)</f>
        <v>7.0685835749999999</v>
      </c>
      <c r="L39">
        <f>IF(D39="F",-I39,0)+IF(E39="F",J39,0)</f>
        <v>3.534291788</v>
      </c>
      <c r="M39">
        <f t="shared" si="32"/>
        <v>14.844025508199998</v>
      </c>
      <c r="N39">
        <f t="shared" si="33"/>
        <v>1.2463497485642316</v>
      </c>
      <c r="O39">
        <v>202.85138538719869</v>
      </c>
      <c r="P39">
        <v>-24.62515657358734</v>
      </c>
      <c r="Q39">
        <v>34.065248380218421</v>
      </c>
      <c r="R39">
        <f t="shared" si="2"/>
        <v>-129.6</v>
      </c>
      <c r="S39">
        <f t="shared" si="34"/>
        <v>64.80000000916732</v>
      </c>
      <c r="V39">
        <f t="shared" si="4"/>
        <v>50</v>
      </c>
      <c r="W39">
        <f t="shared" si="5"/>
        <v>25</v>
      </c>
    </row>
    <row r="40" spans="1:23" x14ac:dyDescent="0.55000000000000004">
      <c r="A40">
        <v>0</v>
      </c>
      <c r="B40">
        <v>0</v>
      </c>
      <c r="C40">
        <v>0</v>
      </c>
      <c r="D40" t="s">
        <v>4</v>
      </c>
      <c r="E40" t="s">
        <v>0</v>
      </c>
      <c r="F40">
        <v>0.64</v>
      </c>
      <c r="G40">
        <v>0</v>
      </c>
      <c r="H40">
        <v>20</v>
      </c>
      <c r="I40">
        <f>SIGN(V40)*SUMIF(abaqus!A:A,CONCATENATE("=",ABS(V40)),abaqus!B:B)</f>
        <v>2.8274334300000001</v>
      </c>
      <c r="J40">
        <f>SIGN(W40)*SUMIF(abaqus!A:A,CONCATENATE("=",ABS(W40)),abaqus!B:B)</f>
        <v>2.8274334300000001</v>
      </c>
      <c r="K40">
        <f>IF(D40="E",I40,0)+IF(E40="E",-J40,0)</f>
        <v>-2.8274334300000001</v>
      </c>
      <c r="L40">
        <f>IF(D40="F",-I40,0)+IF(E40="F",J40,0)</f>
        <v>-2.8274334300000001</v>
      </c>
      <c r="M40">
        <f>(K40+L40)*0.5*5.6/2</f>
        <v>-7.9168136039999997</v>
      </c>
      <c r="N40">
        <f>(K40-L40)/3.97/2*5.6/2</f>
        <v>0</v>
      </c>
      <c r="O40">
        <v>0</v>
      </c>
      <c r="P40">
        <v>-5.0667607065601103</v>
      </c>
      <c r="Q40">
        <v>0</v>
      </c>
      <c r="R40">
        <f>-K40*$F40/3.1415927*180</f>
        <v>103.68</v>
      </c>
      <c r="S40">
        <f>L40*$F40/3.1415927*180</f>
        <v>-103.68</v>
      </c>
      <c r="V40">
        <f t="shared" ref="V40:V77" si="35">IF(G40=100,H40,IF(G40=-100,-H40,IF(G40&lt;0,H40*(100+G40)/100,H40)))</f>
        <v>20</v>
      </c>
      <c r="W40">
        <f t="shared" ref="W40:W77" si="36">IF(G40=100,-H40,IF(G40=-100,H40,IF(G40&gt;0,H40*(100-G40)/100,H40)))</f>
        <v>20</v>
      </c>
    </row>
    <row r="41" spans="1:23" x14ac:dyDescent="0.55000000000000004">
      <c r="A41">
        <v>0</v>
      </c>
      <c r="B41">
        <v>0</v>
      </c>
      <c r="C41">
        <v>0</v>
      </c>
      <c r="D41" t="s">
        <v>4</v>
      </c>
      <c r="E41" t="s">
        <v>0</v>
      </c>
      <c r="F41">
        <v>0.64</v>
      </c>
      <c r="G41">
        <v>0</v>
      </c>
      <c r="H41">
        <v>-20</v>
      </c>
      <c r="I41">
        <f>SIGN(V41)*SUMIF(abaqus!A:A,CONCATENATE("=",ABS(V41)),abaqus!B:B)</f>
        <v>-2.8274334300000001</v>
      </c>
      <c r="J41">
        <f>SIGN(W41)*SUMIF(abaqus!A:A,CONCATENATE("=",ABS(W41)),abaqus!B:B)</f>
        <v>-2.8274334300000001</v>
      </c>
      <c r="K41">
        <f>IF(D41="E",I41,0)+IF(E41="E",-J41,0)</f>
        <v>2.8274334300000001</v>
      </c>
      <c r="L41">
        <f>IF(D41="F",-I41,0)+IF(E41="F",J41,0)</f>
        <v>2.8274334300000001</v>
      </c>
      <c r="M41">
        <f t="shared" ref="M41:M48" si="37">(K41+L41)*0.5*5.6/2</f>
        <v>7.9168136039999997</v>
      </c>
      <c r="N41">
        <f t="shared" ref="N41:N48" si="38">(K41-L41)/3.97/2*5.6/2</f>
        <v>0</v>
      </c>
      <c r="O41">
        <v>0</v>
      </c>
      <c r="P41">
        <v>5.0667607065601103</v>
      </c>
      <c r="Q41">
        <v>0</v>
      </c>
      <c r="R41">
        <f t="shared" ref="R41:R77" si="39">-K41*$F41/3.1415927*180</f>
        <v>-103.68</v>
      </c>
      <c r="S41">
        <f t="shared" ref="S41:S77" si="40">L41*$F41/3.1415927*180</f>
        <v>103.68</v>
      </c>
      <c r="V41">
        <f t="shared" si="35"/>
        <v>-20</v>
      </c>
      <c r="W41">
        <f t="shared" si="36"/>
        <v>-20</v>
      </c>
    </row>
    <row r="42" spans="1:23" x14ac:dyDescent="0.55000000000000004">
      <c r="A42">
        <v>0</v>
      </c>
      <c r="B42">
        <v>0</v>
      </c>
      <c r="C42">
        <v>0</v>
      </c>
      <c r="D42" t="s">
        <v>4</v>
      </c>
      <c r="E42" t="s">
        <v>0</v>
      </c>
      <c r="F42">
        <v>0.64</v>
      </c>
      <c r="G42">
        <v>0</v>
      </c>
      <c r="H42">
        <v>40</v>
      </c>
      <c r="I42">
        <f>SIGN(V42)*SUMIF(abaqus!A:A,CONCATENATE("=",ABS(V42)),abaqus!B:B)</f>
        <v>5.6548668600000003</v>
      </c>
      <c r="J42">
        <f>SIGN(W42)*SUMIF(abaqus!A:A,CONCATENATE("=",ABS(W42)),abaqus!B:B)</f>
        <v>5.6548668600000003</v>
      </c>
      <c r="K42">
        <f>IF(D42="E",I42,0)+IF(E42="E",-J42,0)</f>
        <v>-5.6548668600000003</v>
      </c>
      <c r="L42">
        <f>IF(D42="F",-I42,0)+IF(E42="F",J42,0)</f>
        <v>-5.6548668600000003</v>
      </c>
      <c r="M42">
        <f t="shared" si="37"/>
        <v>-15.833627207999999</v>
      </c>
      <c r="N42">
        <f t="shared" si="38"/>
        <v>0</v>
      </c>
      <c r="O42">
        <v>0</v>
      </c>
      <c r="P42">
        <v>-10.133521413120221</v>
      </c>
      <c r="Q42">
        <v>0</v>
      </c>
      <c r="R42">
        <f t="shared" si="39"/>
        <v>207.36</v>
      </c>
      <c r="S42">
        <f t="shared" si="40"/>
        <v>-207.36</v>
      </c>
      <c r="V42">
        <f t="shared" si="35"/>
        <v>40</v>
      </c>
      <c r="W42">
        <f t="shared" si="36"/>
        <v>40</v>
      </c>
    </row>
    <row r="43" spans="1:23" x14ac:dyDescent="0.55000000000000004">
      <c r="A43">
        <v>0</v>
      </c>
      <c r="B43">
        <v>0</v>
      </c>
      <c r="C43">
        <v>0</v>
      </c>
      <c r="D43" t="s">
        <v>4</v>
      </c>
      <c r="E43" t="s">
        <v>0</v>
      </c>
      <c r="F43">
        <v>0.64</v>
      </c>
      <c r="G43">
        <v>0</v>
      </c>
      <c r="H43">
        <v>-40</v>
      </c>
      <c r="I43">
        <f>SIGN(V43)*SUMIF(abaqus!A:A,CONCATENATE("=",ABS(V43)),abaqus!B:B)</f>
        <v>-5.6548668600000003</v>
      </c>
      <c r="J43">
        <f>SIGN(W43)*SUMIF(abaqus!A:A,CONCATENATE("=",ABS(W43)),abaqus!B:B)</f>
        <v>-5.6548668600000003</v>
      </c>
      <c r="K43">
        <f>IF(D43="E",I43,0)+IF(E43="E",-J43,0)</f>
        <v>5.6548668600000003</v>
      </c>
      <c r="L43">
        <f>IF(D43="F",-I43,0)+IF(E43="F",J43,0)</f>
        <v>5.6548668600000003</v>
      </c>
      <c r="M43">
        <f t="shared" si="37"/>
        <v>15.833627207999999</v>
      </c>
      <c r="N43">
        <f t="shared" si="38"/>
        <v>0</v>
      </c>
      <c r="O43">
        <v>0</v>
      </c>
      <c r="P43">
        <v>10.133521413120221</v>
      </c>
      <c r="Q43">
        <v>0</v>
      </c>
      <c r="R43">
        <f t="shared" si="39"/>
        <v>-207.36</v>
      </c>
      <c r="S43">
        <f t="shared" si="40"/>
        <v>207.36</v>
      </c>
      <c r="V43">
        <f t="shared" si="35"/>
        <v>-40</v>
      </c>
      <c r="W43">
        <f t="shared" si="36"/>
        <v>-40</v>
      </c>
    </row>
    <row r="44" spans="1:23" x14ac:dyDescent="0.55000000000000004">
      <c r="A44">
        <v>0</v>
      </c>
      <c r="B44">
        <v>0</v>
      </c>
      <c r="C44">
        <v>0</v>
      </c>
      <c r="D44" t="s">
        <v>4</v>
      </c>
      <c r="E44" t="s">
        <v>0</v>
      </c>
      <c r="F44">
        <v>1.28</v>
      </c>
      <c r="G44">
        <v>0</v>
      </c>
      <c r="H44">
        <v>-20</v>
      </c>
      <c r="I44">
        <f>SIGN(V44)*SUMIF(abaqus!A:A,CONCATENATE("=",ABS(V44)),abaqus!B:B)</f>
        <v>-2.8274334300000001</v>
      </c>
      <c r="J44">
        <f>SIGN(W44)*SUMIF(abaqus!A:A,CONCATENATE("=",ABS(W44)),abaqus!B:B)</f>
        <v>-2.8274334300000001</v>
      </c>
      <c r="K44">
        <f>IF(D44="E",I44,0)+IF(E44="E",-J44,0)</f>
        <v>2.8274334300000001</v>
      </c>
      <c r="L44">
        <f>IF(D44="F",-I44,0)+IF(E44="F",J44,0)</f>
        <v>2.8274334300000001</v>
      </c>
      <c r="M44">
        <f t="shared" si="37"/>
        <v>7.9168136039999997</v>
      </c>
      <c r="N44">
        <f t="shared" si="38"/>
        <v>0</v>
      </c>
      <c r="O44">
        <v>0</v>
      </c>
      <c r="P44">
        <v>10.133521413121136</v>
      </c>
      <c r="Q44">
        <v>0</v>
      </c>
      <c r="R44">
        <f t="shared" si="39"/>
        <v>-207.36</v>
      </c>
      <c r="S44">
        <f t="shared" si="40"/>
        <v>207.36</v>
      </c>
      <c r="V44">
        <f t="shared" si="35"/>
        <v>-20</v>
      </c>
      <c r="W44">
        <f t="shared" si="36"/>
        <v>-20</v>
      </c>
    </row>
    <row r="45" spans="1:23" x14ac:dyDescent="0.55000000000000004">
      <c r="A45">
        <v>0</v>
      </c>
      <c r="B45">
        <v>0</v>
      </c>
      <c r="C45">
        <v>0</v>
      </c>
      <c r="D45" t="s">
        <v>4</v>
      </c>
      <c r="E45" t="s">
        <v>0</v>
      </c>
      <c r="F45">
        <v>0.32</v>
      </c>
      <c r="G45">
        <v>100</v>
      </c>
      <c r="H45">
        <v>50</v>
      </c>
      <c r="I45">
        <f>SIGN(V45)*SUMIF(abaqus!A:A,CONCATENATE("=",ABS(V45)),abaqus!B:B)</f>
        <v>7.0685835749999999</v>
      </c>
      <c r="J45">
        <f>SIGN(W45)*SUMIF(abaqus!A:A,CONCATENATE("=",ABS(W45)),abaqus!B:B)</f>
        <v>-7.0685835749999999</v>
      </c>
      <c r="K45">
        <f>IF(D45="E",I45,0)+IF(E45="E",-J45,0)</f>
        <v>7.0685835749999999</v>
      </c>
      <c r="L45">
        <f>IF(D45="F",-I45,0)+IF(E45="F",J45,0)</f>
        <v>-7.0685835749999999</v>
      </c>
      <c r="M45">
        <f t="shared" si="37"/>
        <v>0</v>
      </c>
      <c r="N45">
        <f t="shared" si="38"/>
        <v>4.9853989949622157</v>
      </c>
      <c r="O45">
        <v>91.405541561713989</v>
      </c>
      <c r="P45">
        <v>0</v>
      </c>
      <c r="Q45">
        <v>0</v>
      </c>
      <c r="R45">
        <f t="shared" si="39"/>
        <v>-129.6</v>
      </c>
      <c r="S45">
        <f t="shared" si="40"/>
        <v>-129.6</v>
      </c>
      <c r="V45">
        <f t="shared" si="35"/>
        <v>50</v>
      </c>
      <c r="W45">
        <f t="shared" si="36"/>
        <v>-50</v>
      </c>
    </row>
    <row r="46" spans="1:23" x14ac:dyDescent="0.55000000000000004">
      <c r="A46">
        <v>0</v>
      </c>
      <c r="B46">
        <v>0</v>
      </c>
      <c r="C46">
        <v>0</v>
      </c>
      <c r="D46" t="s">
        <v>4</v>
      </c>
      <c r="E46" t="s">
        <v>0</v>
      </c>
      <c r="F46">
        <v>0.32</v>
      </c>
      <c r="G46">
        <v>-100</v>
      </c>
      <c r="H46">
        <v>50</v>
      </c>
      <c r="I46">
        <f>SIGN(V46)*SUMIF(abaqus!A:A,CONCATENATE("=",ABS(V46)),abaqus!B:B)</f>
        <v>-7.0685835749999999</v>
      </c>
      <c r="J46">
        <f>SIGN(W46)*SUMIF(abaqus!A:A,CONCATENATE("=",ABS(W46)),abaqus!B:B)</f>
        <v>7.0685835749999999</v>
      </c>
      <c r="K46">
        <f>IF(D46="E",I46,0)+IF(E46="E",-J46,0)</f>
        <v>-7.0685835749999999</v>
      </c>
      <c r="L46">
        <f>IF(D46="F",-I46,0)+IF(E46="F",J46,0)</f>
        <v>7.0685835749999999</v>
      </c>
      <c r="M46">
        <f t="shared" si="37"/>
        <v>0</v>
      </c>
      <c r="N46">
        <f t="shared" si="38"/>
        <v>-4.9853989949622157</v>
      </c>
      <c r="O46">
        <v>-91.405541561713989</v>
      </c>
      <c r="P46">
        <v>0</v>
      </c>
      <c r="Q46">
        <v>0</v>
      </c>
      <c r="R46">
        <f t="shared" si="39"/>
        <v>129.6</v>
      </c>
      <c r="S46">
        <f t="shared" si="40"/>
        <v>129.6</v>
      </c>
      <c r="V46">
        <f t="shared" si="35"/>
        <v>-50</v>
      </c>
      <c r="W46">
        <f t="shared" si="36"/>
        <v>50</v>
      </c>
    </row>
    <row r="47" spans="1:23" x14ac:dyDescent="0.55000000000000004">
      <c r="A47">
        <v>0</v>
      </c>
      <c r="B47">
        <v>0</v>
      </c>
      <c r="C47">
        <v>0</v>
      </c>
      <c r="D47" t="s">
        <v>4</v>
      </c>
      <c r="E47" t="s">
        <v>0</v>
      </c>
      <c r="F47">
        <v>0.64</v>
      </c>
      <c r="G47">
        <v>100</v>
      </c>
      <c r="H47">
        <v>50</v>
      </c>
      <c r="I47">
        <f>SIGN(V47)*SUMIF(abaqus!A:A,CONCATENATE("=",ABS(V47)),abaqus!B:B)</f>
        <v>7.0685835749999999</v>
      </c>
      <c r="J47">
        <f>SIGN(W47)*SUMIF(abaqus!A:A,CONCATENATE("=",ABS(W47)),abaqus!B:B)</f>
        <v>-7.0685835749999999</v>
      </c>
      <c r="K47">
        <f>IF(D47="E",I47,0)+IF(E47="E",-J47,0)</f>
        <v>7.0685835749999999</v>
      </c>
      <c r="L47">
        <f>IF(D47="F",-I47,0)+IF(E47="F",J47,0)</f>
        <v>-7.0685835749999999</v>
      </c>
      <c r="M47">
        <f t="shared" si="37"/>
        <v>0</v>
      </c>
      <c r="N47">
        <f t="shared" si="38"/>
        <v>4.9853989949622157</v>
      </c>
      <c r="O47">
        <v>182.81108312342889</v>
      </c>
      <c r="P47">
        <v>0</v>
      </c>
      <c r="Q47">
        <v>0</v>
      </c>
      <c r="R47">
        <f t="shared" si="39"/>
        <v>-259.2</v>
      </c>
      <c r="S47">
        <f t="shared" si="40"/>
        <v>-259.2</v>
      </c>
      <c r="V47">
        <f t="shared" si="35"/>
        <v>50</v>
      </c>
      <c r="W47">
        <f t="shared" si="36"/>
        <v>-50</v>
      </c>
    </row>
    <row r="48" spans="1:23" x14ac:dyDescent="0.55000000000000004">
      <c r="A48">
        <v>0</v>
      </c>
      <c r="B48">
        <v>0</v>
      </c>
      <c r="C48">
        <v>0</v>
      </c>
      <c r="D48" t="s">
        <v>4</v>
      </c>
      <c r="E48" t="s">
        <v>0</v>
      </c>
      <c r="F48">
        <v>1.6</v>
      </c>
      <c r="G48">
        <v>100</v>
      </c>
      <c r="H48">
        <v>-50</v>
      </c>
      <c r="I48">
        <f>SIGN(V48)*SUMIF(abaqus!A:A,CONCATENATE("=",ABS(V48)),abaqus!B:B)</f>
        <v>-7.0685835749999999</v>
      </c>
      <c r="J48">
        <f>SIGN(W48)*SUMIF(abaqus!A:A,CONCATENATE("=",ABS(W48)),abaqus!B:B)</f>
        <v>7.0685835749999999</v>
      </c>
      <c r="K48">
        <f>IF(D48="E",I48,0)+IF(E48="E",-J48,0)</f>
        <v>-7.0685835749999999</v>
      </c>
      <c r="L48">
        <f>IF(D48="F",-I48,0)+IF(E48="F",J48,0)</f>
        <v>7.0685835749999999</v>
      </c>
      <c r="M48">
        <f t="shared" si="37"/>
        <v>0</v>
      </c>
      <c r="N48">
        <f t="shared" si="38"/>
        <v>-4.9853989949622157</v>
      </c>
      <c r="O48">
        <v>-457.027707808625</v>
      </c>
      <c r="P48">
        <v>0</v>
      </c>
      <c r="Q48">
        <v>0</v>
      </c>
      <c r="R48">
        <f t="shared" si="39"/>
        <v>648</v>
      </c>
      <c r="S48">
        <f t="shared" si="40"/>
        <v>648</v>
      </c>
      <c r="V48">
        <f t="shared" si="35"/>
        <v>-50</v>
      </c>
      <c r="W48">
        <f t="shared" si="36"/>
        <v>50</v>
      </c>
    </row>
    <row r="49" spans="1:23" x14ac:dyDescent="0.55000000000000004">
      <c r="A49">
        <v>0</v>
      </c>
      <c r="B49">
        <v>0</v>
      </c>
      <c r="C49">
        <v>0</v>
      </c>
      <c r="D49" t="s">
        <v>4</v>
      </c>
      <c r="E49" t="s">
        <v>0</v>
      </c>
      <c r="F49">
        <v>0.32</v>
      </c>
      <c r="G49">
        <v>99</v>
      </c>
      <c r="H49">
        <v>50</v>
      </c>
      <c r="I49">
        <f>SIGN(V49)*SUMIF(abaqus!A:A,CONCATENATE("=",ABS(V49)),abaqus!B:B)</f>
        <v>7.0685835749999999</v>
      </c>
      <c r="J49">
        <f>SIGN(W49)*SUMIF(abaqus!A:A,CONCATENATE("=",ABS(W49)),abaqus!B:B)</f>
        <v>0</v>
      </c>
      <c r="K49">
        <f>IF(D49="E",I49,0)+IF(E49="E",-J49,0)</f>
        <v>0</v>
      </c>
      <c r="L49">
        <f>IF(D49="F",-I49,0)+IF(E49="F",J49,0)</f>
        <v>-7.0685835749999999</v>
      </c>
      <c r="M49">
        <f t="shared" ref="M49:M52" si="41">(K49+L49)*0.5*5.6/2</f>
        <v>-9.8960170049999991</v>
      </c>
      <c r="N49">
        <f t="shared" ref="N49:N52" si="42">(K49-L49)/3.97/2*5.6/2</f>
        <v>2.4926994974811079</v>
      </c>
      <c r="O49">
        <v>45.702770780856994</v>
      </c>
      <c r="P49">
        <v>-2.8414366570827072</v>
      </c>
      <c r="Q49">
        <v>-1.1974266787067149</v>
      </c>
      <c r="R49">
        <f t="shared" ref="R49:R52" si="43">-K49*$F49/3.1415927*180</f>
        <v>0</v>
      </c>
      <c r="S49">
        <f t="shared" ref="S49:S52" si="44">L49*$F49/3.1415927*180</f>
        <v>-129.6</v>
      </c>
      <c r="V49">
        <f t="shared" ref="V49:V52" si="45">IF(G49=100,H49,IF(G49=-100,-H49,IF(G49&lt;0,H49*(100+G49)/100,H49)))</f>
        <v>50</v>
      </c>
      <c r="W49">
        <f t="shared" ref="W49:W52" si="46">IF(G49=100,-H49,IF(G49=-100,H49,IF(G49&gt;0,H49*(100-G49)/100,H49)))</f>
        <v>0.5</v>
      </c>
    </row>
    <row r="50" spans="1:23" x14ac:dyDescent="0.55000000000000004">
      <c r="A50">
        <v>0</v>
      </c>
      <c r="B50">
        <v>0</v>
      </c>
      <c r="C50">
        <v>0</v>
      </c>
      <c r="D50" t="s">
        <v>4</v>
      </c>
      <c r="E50" t="s">
        <v>0</v>
      </c>
      <c r="F50">
        <v>0.32</v>
      </c>
      <c r="G50">
        <v>-99</v>
      </c>
      <c r="H50">
        <v>50</v>
      </c>
      <c r="I50">
        <f>SIGN(V50)*SUMIF(abaqus!A:A,CONCATENATE("=",ABS(V50)),abaqus!B:B)</f>
        <v>0</v>
      </c>
      <c r="J50">
        <f>SIGN(W50)*SUMIF(abaqus!A:A,CONCATENATE("=",ABS(W50)),abaqus!B:B)</f>
        <v>7.0685835749999999</v>
      </c>
      <c r="K50">
        <f>IF(D50="E",I50,0)+IF(E50="E",-J50,0)</f>
        <v>-7.0685835749999999</v>
      </c>
      <c r="L50">
        <f>IF(D50="F",-I50,0)+IF(E50="F",J50,0)</f>
        <v>0</v>
      </c>
      <c r="M50">
        <f t="shared" si="41"/>
        <v>-9.8960170049999991</v>
      </c>
      <c r="N50">
        <f t="shared" si="42"/>
        <v>-2.4926994974811079</v>
      </c>
      <c r="O50">
        <v>-45.702770780856994</v>
      </c>
      <c r="P50">
        <v>-2.8414366570827072</v>
      </c>
      <c r="Q50">
        <v>1.1974266787067149</v>
      </c>
      <c r="R50">
        <f t="shared" si="43"/>
        <v>129.6</v>
      </c>
      <c r="S50">
        <f t="shared" si="44"/>
        <v>0</v>
      </c>
      <c r="V50">
        <f t="shared" si="45"/>
        <v>0.5</v>
      </c>
      <c r="W50">
        <f t="shared" si="46"/>
        <v>50</v>
      </c>
    </row>
    <row r="51" spans="1:23" x14ac:dyDescent="0.55000000000000004">
      <c r="A51">
        <v>0</v>
      </c>
      <c r="B51">
        <v>0</v>
      </c>
      <c r="C51">
        <v>0</v>
      </c>
      <c r="D51" t="s">
        <v>4</v>
      </c>
      <c r="E51" t="s">
        <v>0</v>
      </c>
      <c r="F51">
        <v>0.64</v>
      </c>
      <c r="G51">
        <v>99</v>
      </c>
      <c r="H51">
        <v>50</v>
      </c>
      <c r="I51">
        <f>SIGN(V51)*SUMIF(abaqus!A:A,CONCATENATE("=",ABS(V51)),abaqus!B:B)</f>
        <v>7.0685835749999999</v>
      </c>
      <c r="J51">
        <f>SIGN(W51)*SUMIF(abaqus!A:A,CONCATENATE("=",ABS(W51)),abaqus!B:B)</f>
        <v>0</v>
      </c>
      <c r="K51">
        <f>IF(D51="E",I51,0)+IF(E51="E",-J51,0)</f>
        <v>0</v>
      </c>
      <c r="L51">
        <f>IF(D51="F",-I51,0)+IF(E51="F",J51,0)</f>
        <v>-7.0685835749999999</v>
      </c>
      <c r="M51">
        <f t="shared" si="41"/>
        <v>-9.8960170049999991</v>
      </c>
      <c r="N51">
        <f t="shared" si="42"/>
        <v>2.4926994974811079</v>
      </c>
      <c r="O51">
        <v>91.405541561714443</v>
      </c>
      <c r="P51">
        <v>-3.9688057691691867</v>
      </c>
      <c r="Q51">
        <v>-4.0673799614215751</v>
      </c>
      <c r="R51">
        <f t="shared" si="43"/>
        <v>0</v>
      </c>
      <c r="S51">
        <f t="shared" si="44"/>
        <v>-259.2</v>
      </c>
      <c r="V51">
        <f t="shared" si="45"/>
        <v>50</v>
      </c>
      <c r="W51">
        <f t="shared" si="46"/>
        <v>0.5</v>
      </c>
    </row>
    <row r="52" spans="1:23" x14ac:dyDescent="0.55000000000000004">
      <c r="A52">
        <v>0</v>
      </c>
      <c r="B52">
        <v>0</v>
      </c>
      <c r="C52">
        <v>0</v>
      </c>
      <c r="D52" t="s">
        <v>4</v>
      </c>
      <c r="E52" t="s">
        <v>0</v>
      </c>
      <c r="F52">
        <v>1.6</v>
      </c>
      <c r="G52">
        <v>99</v>
      </c>
      <c r="H52">
        <v>-50</v>
      </c>
      <c r="I52">
        <f>SIGN(V52)*SUMIF(abaqus!A:A,CONCATENATE("=",ABS(V52)),abaqus!B:B)</f>
        <v>-7.0685835749999999</v>
      </c>
      <c r="J52">
        <f>SIGN(W52)*SUMIF(abaqus!A:A,CONCATENATE("=",ABS(W52)),abaqus!B:B)</f>
        <v>0</v>
      </c>
      <c r="K52">
        <f>IF(D52="E",I52,0)+IF(E52="E",-J52,0)</f>
        <v>0</v>
      </c>
      <c r="L52">
        <f>IF(D52="F",-I52,0)+IF(E52="F",J52,0)</f>
        <v>7.0685835749999999</v>
      </c>
      <c r="M52">
        <f t="shared" si="41"/>
        <v>9.8960170049999991</v>
      </c>
      <c r="N52">
        <f t="shared" si="42"/>
        <v>-2.4926994974811079</v>
      </c>
      <c r="O52">
        <v>-228.5138539043125</v>
      </c>
      <c r="P52">
        <v>-2.9739905416311152</v>
      </c>
      <c r="Q52">
        <v>-6.5998828205921658</v>
      </c>
      <c r="R52">
        <f t="shared" si="43"/>
        <v>0</v>
      </c>
      <c r="S52">
        <f t="shared" si="44"/>
        <v>648</v>
      </c>
      <c r="V52">
        <f t="shared" si="45"/>
        <v>-50</v>
      </c>
      <c r="W52">
        <f t="shared" si="46"/>
        <v>-0.5</v>
      </c>
    </row>
    <row r="53" spans="1:23" x14ac:dyDescent="0.55000000000000004">
      <c r="A53">
        <v>0</v>
      </c>
      <c r="B53">
        <v>0</v>
      </c>
      <c r="C53">
        <f>3.1415927/2</f>
        <v>1.57079635</v>
      </c>
      <c r="D53" t="s">
        <v>4</v>
      </c>
      <c r="E53" t="s">
        <v>0</v>
      </c>
      <c r="F53">
        <v>0.64</v>
      </c>
      <c r="G53">
        <v>0</v>
      </c>
      <c r="H53">
        <v>20</v>
      </c>
      <c r="I53">
        <f>SIGN(V53)*SUMIF(abaqus!A:A,CONCATENATE("=",ABS(V53)),abaqus!B:B)</f>
        <v>2.8274334300000001</v>
      </c>
      <c r="J53">
        <f>SIGN(W53)*SUMIF(abaqus!A:A,CONCATENATE("=",ABS(W53)),abaqus!B:B)</f>
        <v>2.8274334300000001</v>
      </c>
      <c r="K53">
        <f>IF(D53="E",I53,0)+IF(E53="E",-J53,0)</f>
        <v>-2.8274334300000001</v>
      </c>
      <c r="L53">
        <f>IF(D53="F",-I53,0)+IF(E53="F",J53,0)</f>
        <v>-2.8274334300000001</v>
      </c>
      <c r="M53">
        <f>(K53+L53)*0.5*5.6/2</f>
        <v>-7.9168136039999997</v>
      </c>
      <c r="N53">
        <f>(K53-L53)/3.97/2*5.6/2</f>
        <v>0</v>
      </c>
      <c r="O53">
        <v>90</v>
      </c>
      <c r="P53">
        <v>1.1757470576003068E-7</v>
      </c>
      <c r="Q53">
        <v>-5.0667607065601103</v>
      </c>
      <c r="R53">
        <f t="shared" si="39"/>
        <v>103.68</v>
      </c>
      <c r="S53">
        <f t="shared" si="40"/>
        <v>-103.68</v>
      </c>
      <c r="V53">
        <f t="shared" si="35"/>
        <v>20</v>
      </c>
      <c r="W53">
        <f t="shared" si="36"/>
        <v>20</v>
      </c>
    </row>
    <row r="54" spans="1:23" x14ac:dyDescent="0.55000000000000004">
      <c r="A54">
        <v>0</v>
      </c>
      <c r="B54">
        <v>0</v>
      </c>
      <c r="C54">
        <f>-3.1415927/2</f>
        <v>-1.57079635</v>
      </c>
      <c r="D54" t="s">
        <v>4</v>
      </c>
      <c r="E54" t="s">
        <v>0</v>
      </c>
      <c r="F54">
        <v>0.64</v>
      </c>
      <c r="G54">
        <v>0</v>
      </c>
      <c r="H54">
        <v>20</v>
      </c>
      <c r="I54">
        <f>SIGN(V54)*SUMIF(abaqus!A:A,CONCATENATE("=",ABS(V54)),abaqus!B:B)</f>
        <v>2.8274334300000001</v>
      </c>
      <c r="J54">
        <f>SIGN(W54)*SUMIF(abaqus!A:A,CONCATENATE("=",ABS(W54)),abaqus!B:B)</f>
        <v>2.8274334300000001</v>
      </c>
      <c r="K54">
        <f>IF(D54="E",I54,0)+IF(E54="E",-J54,0)</f>
        <v>-2.8274334300000001</v>
      </c>
      <c r="L54">
        <f>IF(D54="F",-I54,0)+IF(E54="F",J54,0)</f>
        <v>-2.8274334300000001</v>
      </c>
      <c r="M54">
        <f>(K54+L54)*0.5*5.6/2</f>
        <v>-7.9168136039999997</v>
      </c>
      <c r="N54">
        <f>(K54-L54)/3.97/2*5.6/2</f>
        <v>0</v>
      </c>
      <c r="O54">
        <v>-90</v>
      </c>
      <c r="P54">
        <v>1.1757470576003068E-7</v>
      </c>
      <c r="Q54">
        <v>5.0667607065601103</v>
      </c>
      <c r="R54">
        <f t="shared" si="39"/>
        <v>103.68</v>
      </c>
      <c r="S54">
        <f t="shared" si="40"/>
        <v>-103.68</v>
      </c>
      <c r="V54">
        <f t="shared" si="35"/>
        <v>20</v>
      </c>
      <c r="W54">
        <f t="shared" si="36"/>
        <v>20</v>
      </c>
    </row>
    <row r="55" spans="1:23" x14ac:dyDescent="0.55000000000000004">
      <c r="A55">
        <v>0</v>
      </c>
      <c r="B55">
        <v>0</v>
      </c>
      <c r="C55">
        <f>3.1415927</f>
        <v>3.1415926999999999</v>
      </c>
      <c r="D55" t="s">
        <v>4</v>
      </c>
      <c r="E55" t="s">
        <v>0</v>
      </c>
      <c r="F55">
        <v>0.64</v>
      </c>
      <c r="G55">
        <v>0</v>
      </c>
      <c r="H55">
        <v>20</v>
      </c>
      <c r="I55">
        <f>SIGN(V55)*SUMIF(abaqus!A:A,CONCATENATE("=",ABS(V55)),abaqus!B:B)</f>
        <v>2.8274334300000001</v>
      </c>
      <c r="J55">
        <f>SIGN(W55)*SUMIF(abaqus!A:A,CONCATENATE("=",ABS(W55)),abaqus!B:B)</f>
        <v>2.8274334300000001</v>
      </c>
      <c r="K55">
        <f>IF(D55="E",I55,0)+IF(E55="E",-J55,0)</f>
        <v>-2.8274334300000001</v>
      </c>
      <c r="L55">
        <f>IF(D55="F",-I55,0)+IF(E55="F",J55,0)</f>
        <v>-2.8274334300000001</v>
      </c>
      <c r="M55">
        <f>(K55+L55)*0.5*5.6/2</f>
        <v>-7.9168136039999997</v>
      </c>
      <c r="N55">
        <f>(K55-L55)/3.97/2*5.6/2</f>
        <v>0</v>
      </c>
      <c r="O55">
        <v>180</v>
      </c>
      <c r="P55">
        <v>5.0667607065601103</v>
      </c>
      <c r="Q55">
        <v>2.3514941152006136E-7</v>
      </c>
      <c r="R55">
        <f t="shared" si="39"/>
        <v>103.68</v>
      </c>
      <c r="S55">
        <f t="shared" si="40"/>
        <v>-103.68</v>
      </c>
      <c r="V55">
        <f t="shared" si="35"/>
        <v>20</v>
      </c>
      <c r="W55">
        <f t="shared" si="36"/>
        <v>20</v>
      </c>
    </row>
    <row r="56" spans="1:23" x14ac:dyDescent="0.55000000000000004">
      <c r="A56">
        <v>0</v>
      </c>
      <c r="B56">
        <v>0</v>
      </c>
      <c r="C56">
        <f>3.1415927/2</f>
        <v>1.57079635</v>
      </c>
      <c r="D56" t="s">
        <v>4</v>
      </c>
      <c r="E56" t="s">
        <v>0</v>
      </c>
      <c r="F56">
        <v>0.32</v>
      </c>
      <c r="G56">
        <v>100</v>
      </c>
      <c r="H56">
        <v>50</v>
      </c>
      <c r="I56">
        <f>SIGN(V56)*SUMIF(abaqus!A:A,CONCATENATE("=",ABS(V56)),abaqus!B:B)</f>
        <v>7.0685835749999999</v>
      </c>
      <c r="J56">
        <f>SIGN(W56)*SUMIF(abaqus!A:A,CONCATENATE("=",ABS(W56)),abaqus!B:B)</f>
        <v>-7.0685835749999999</v>
      </c>
      <c r="K56">
        <f>IF(D56="E",I56,0)+IF(E56="E",-J56,0)</f>
        <v>7.0685835749999999</v>
      </c>
      <c r="L56">
        <f>IF(D56="F",-I56,0)+IF(E56="F",J56,0)</f>
        <v>-7.0685835749999999</v>
      </c>
      <c r="M56">
        <f t="shared" ref="M56:M58" si="47">(K56+L56)*0.5*5.6/2</f>
        <v>0</v>
      </c>
      <c r="N56">
        <f t="shared" ref="N56:N58" si="48">(K56-L56)/3.97/2*5.6/2</f>
        <v>4.9853989949622157</v>
      </c>
      <c r="O56">
        <v>181.40554156171058</v>
      </c>
      <c r="P56">
        <v>0</v>
      </c>
      <c r="Q56">
        <v>0</v>
      </c>
      <c r="R56">
        <f t="shared" si="39"/>
        <v>-129.6</v>
      </c>
      <c r="S56">
        <f t="shared" si="40"/>
        <v>-129.6</v>
      </c>
      <c r="V56">
        <f t="shared" si="35"/>
        <v>50</v>
      </c>
      <c r="W56">
        <f t="shared" si="36"/>
        <v>-50</v>
      </c>
    </row>
    <row r="57" spans="1:23" x14ac:dyDescent="0.55000000000000004">
      <c r="A57">
        <v>0</v>
      </c>
      <c r="B57">
        <v>0</v>
      </c>
      <c r="C57">
        <f>-3.1415927/2</f>
        <v>-1.57079635</v>
      </c>
      <c r="D57" t="s">
        <v>4</v>
      </c>
      <c r="E57" t="s">
        <v>0</v>
      </c>
      <c r="F57">
        <v>0.32</v>
      </c>
      <c r="G57">
        <v>100</v>
      </c>
      <c r="H57">
        <v>50</v>
      </c>
      <c r="I57">
        <f>SIGN(V57)*SUMIF(abaqus!A:A,CONCATENATE("=",ABS(V57)),abaqus!B:B)</f>
        <v>7.0685835749999999</v>
      </c>
      <c r="J57">
        <f>SIGN(W57)*SUMIF(abaqus!A:A,CONCATENATE("=",ABS(W57)),abaqus!B:B)</f>
        <v>-7.0685835749999999</v>
      </c>
      <c r="K57">
        <f>IF(D57="E",I57,0)+IF(E57="E",-J57,0)</f>
        <v>7.0685835749999999</v>
      </c>
      <c r="L57">
        <f>IF(D57="F",-I57,0)+IF(E57="F",J57,0)</f>
        <v>-7.0685835749999999</v>
      </c>
      <c r="M57">
        <f t="shared" si="47"/>
        <v>0</v>
      </c>
      <c r="N57">
        <f t="shared" si="48"/>
        <v>4.9853989949622157</v>
      </c>
      <c r="O57">
        <v>1.4055415617139311</v>
      </c>
      <c r="P57">
        <v>0</v>
      </c>
      <c r="Q57">
        <v>0</v>
      </c>
      <c r="R57">
        <f t="shared" si="39"/>
        <v>-129.6</v>
      </c>
      <c r="S57">
        <f t="shared" si="40"/>
        <v>-129.6</v>
      </c>
      <c r="V57">
        <f t="shared" si="35"/>
        <v>50</v>
      </c>
      <c r="W57">
        <f t="shared" si="36"/>
        <v>-50</v>
      </c>
    </row>
    <row r="58" spans="1:23" x14ac:dyDescent="0.55000000000000004">
      <c r="A58">
        <v>0</v>
      </c>
      <c r="B58">
        <v>0</v>
      </c>
      <c r="C58">
        <f>3.1415927</f>
        <v>3.1415926999999999</v>
      </c>
      <c r="D58" t="s">
        <v>4</v>
      </c>
      <c r="E58" t="s">
        <v>0</v>
      </c>
      <c r="F58">
        <v>0.32</v>
      </c>
      <c r="G58">
        <v>100</v>
      </c>
      <c r="H58">
        <v>50</v>
      </c>
      <c r="I58">
        <f>SIGN(V58)*SUMIF(abaqus!A:A,CONCATENATE("=",ABS(V58)),abaqus!B:B)</f>
        <v>7.0685835749999999</v>
      </c>
      <c r="J58">
        <f>SIGN(W58)*SUMIF(abaqus!A:A,CONCATENATE("=",ABS(W58)),abaqus!B:B)</f>
        <v>-7.0685835749999999</v>
      </c>
      <c r="K58">
        <f>IF(D58="E",I58,0)+IF(E58="E",-J58,0)</f>
        <v>7.0685835749999999</v>
      </c>
      <c r="L58">
        <f>IF(D58="F",-I58,0)+IF(E58="F",J58,0)</f>
        <v>-7.0685835749999999</v>
      </c>
      <c r="M58">
        <f t="shared" si="47"/>
        <v>0</v>
      </c>
      <c r="N58">
        <f t="shared" si="48"/>
        <v>4.9853989949622157</v>
      </c>
      <c r="O58">
        <v>271.40554156171584</v>
      </c>
      <c r="P58">
        <v>0</v>
      </c>
      <c r="Q58">
        <v>0</v>
      </c>
      <c r="R58">
        <f t="shared" si="39"/>
        <v>-129.6</v>
      </c>
      <c r="S58">
        <f t="shared" si="40"/>
        <v>-129.6</v>
      </c>
      <c r="V58">
        <f t="shared" si="35"/>
        <v>50</v>
      </c>
      <c r="W58">
        <f t="shared" si="36"/>
        <v>-50</v>
      </c>
    </row>
    <row r="59" spans="1:23" x14ac:dyDescent="0.55000000000000004">
      <c r="A59">
        <v>0</v>
      </c>
      <c r="B59">
        <v>0</v>
      </c>
      <c r="C59">
        <f>3.1415927/2</f>
        <v>1.57079635</v>
      </c>
      <c r="D59" t="s">
        <v>4</v>
      </c>
      <c r="E59" t="s">
        <v>0</v>
      </c>
      <c r="F59">
        <v>0.32</v>
      </c>
      <c r="G59">
        <v>99</v>
      </c>
      <c r="H59">
        <v>50</v>
      </c>
      <c r="I59">
        <f>SIGN(V59)*SUMIF(abaqus!A:A,CONCATENATE("=",ABS(V59)),abaqus!B:B)</f>
        <v>7.0685835749999999</v>
      </c>
      <c r="J59">
        <f>SIGN(W59)*SUMIF(abaqus!A:A,CONCATENATE("=",ABS(W59)),abaqus!B:B)</f>
        <v>0</v>
      </c>
      <c r="K59">
        <f>IF(D59="E",I59,0)+IF(E59="E",-J59,0)</f>
        <v>0</v>
      </c>
      <c r="L59">
        <f>IF(D59="F",-I59,0)+IF(E59="F",J59,0)</f>
        <v>-7.0685835749999999</v>
      </c>
      <c r="M59">
        <f t="shared" ref="M59:M61" si="49">(K59+L59)*0.5*5.6/2</f>
        <v>-9.8960170049999991</v>
      </c>
      <c r="N59">
        <f t="shared" ref="N59:N61" si="50">(K59-L59)/3.97/2*5.6/2</f>
        <v>2.4926994974811079</v>
      </c>
      <c r="O59">
        <v>135.70277078085792</v>
      </c>
      <c r="P59">
        <v>1.197426744642528</v>
      </c>
      <c r="Q59">
        <v>-2.8414366292962958</v>
      </c>
      <c r="R59">
        <f t="shared" ref="R59:R61" si="51">-K59*$F59/3.1415927*180</f>
        <v>0</v>
      </c>
      <c r="S59">
        <f t="shared" ref="S59:S61" si="52">L59*$F59/3.1415927*180</f>
        <v>-129.6</v>
      </c>
      <c r="V59">
        <f t="shared" ref="V59:V61" si="53">IF(G59=100,H59,IF(G59=-100,-H59,IF(G59&lt;0,H59*(100+G59)/100,H59)))</f>
        <v>50</v>
      </c>
      <c r="W59">
        <f t="shared" ref="W59:W61" si="54">IF(G59=100,-H59,IF(G59=-100,H59,IF(G59&gt;0,H59*(100-G59)/100,H59)))</f>
        <v>0.5</v>
      </c>
    </row>
    <row r="60" spans="1:23" x14ac:dyDescent="0.55000000000000004">
      <c r="A60">
        <v>0</v>
      </c>
      <c r="B60">
        <v>0</v>
      </c>
      <c r="C60">
        <f>-3.1415927/2</f>
        <v>-1.57079635</v>
      </c>
      <c r="D60" t="s">
        <v>4</v>
      </c>
      <c r="E60" t="s">
        <v>0</v>
      </c>
      <c r="F60">
        <v>0.32</v>
      </c>
      <c r="G60">
        <v>99</v>
      </c>
      <c r="H60">
        <v>50</v>
      </c>
      <c r="I60">
        <f>SIGN(V60)*SUMIF(abaqus!A:A,CONCATENATE("=",ABS(V60)),abaqus!B:B)</f>
        <v>7.0685835749999999</v>
      </c>
      <c r="J60">
        <f>SIGN(W60)*SUMIF(abaqus!A:A,CONCATENATE("=",ABS(W60)),abaqus!B:B)</f>
        <v>0</v>
      </c>
      <c r="K60">
        <f>IF(D60="E",I60,0)+IF(E60="E",-J60,0)</f>
        <v>0</v>
      </c>
      <c r="L60">
        <f>IF(D60="F",-I60,0)+IF(E60="F",J60,0)</f>
        <v>-7.0685835749999999</v>
      </c>
      <c r="M60">
        <f t="shared" si="49"/>
        <v>-9.8960170049999991</v>
      </c>
      <c r="N60">
        <f t="shared" si="50"/>
        <v>2.4926994974811079</v>
      </c>
      <c r="O60">
        <v>-44.297229219144654</v>
      </c>
      <c r="P60">
        <v>-1.197426612770836</v>
      </c>
      <c r="Q60">
        <v>2.8414366848691373</v>
      </c>
      <c r="R60">
        <f t="shared" si="51"/>
        <v>0</v>
      </c>
      <c r="S60">
        <f t="shared" si="52"/>
        <v>-129.6</v>
      </c>
      <c r="V60">
        <f t="shared" si="53"/>
        <v>50</v>
      </c>
      <c r="W60">
        <f t="shared" si="54"/>
        <v>0.5</v>
      </c>
    </row>
    <row r="61" spans="1:23" x14ac:dyDescent="0.55000000000000004">
      <c r="A61">
        <v>0</v>
      </c>
      <c r="B61">
        <v>0</v>
      </c>
      <c r="C61">
        <f>3.1415927</f>
        <v>3.1415926999999999</v>
      </c>
      <c r="D61" t="s">
        <v>4</v>
      </c>
      <c r="E61" t="s">
        <v>0</v>
      </c>
      <c r="F61">
        <v>0.32</v>
      </c>
      <c r="G61">
        <v>99</v>
      </c>
      <c r="H61">
        <v>50</v>
      </c>
      <c r="I61">
        <f>SIGN(V61)*SUMIF(abaqus!A:A,CONCATENATE("=",ABS(V61)),abaqus!B:B)</f>
        <v>7.0685835749999999</v>
      </c>
      <c r="J61">
        <f>SIGN(W61)*SUMIF(abaqus!A:A,CONCATENATE("=",ABS(W61)),abaqus!B:B)</f>
        <v>0</v>
      </c>
      <c r="K61">
        <f>IF(D61="E",I61,0)+IF(E61="E",-J61,0)</f>
        <v>0</v>
      </c>
      <c r="L61">
        <f>IF(D61="F",-I61,0)+IF(E61="F",J61,0)</f>
        <v>-7.0685835749999999</v>
      </c>
      <c r="M61">
        <f t="shared" si="49"/>
        <v>-9.8960170049999991</v>
      </c>
      <c r="N61">
        <f t="shared" si="50"/>
        <v>2.4926994974811079</v>
      </c>
      <c r="O61">
        <v>225.70277078086229</v>
      </c>
      <c r="P61">
        <v>2.8414366015097956</v>
      </c>
      <c r="Q61">
        <v>1.1974268105785106</v>
      </c>
      <c r="R61">
        <f t="shared" si="51"/>
        <v>0</v>
      </c>
      <c r="S61">
        <f t="shared" si="52"/>
        <v>-129.6</v>
      </c>
      <c r="V61">
        <f t="shared" si="53"/>
        <v>50</v>
      </c>
      <c r="W61">
        <f t="shared" si="54"/>
        <v>0.5</v>
      </c>
    </row>
    <row r="62" spans="1:23" x14ac:dyDescent="0.55000000000000004">
      <c r="A62">
        <v>-20</v>
      </c>
      <c r="B62">
        <v>35</v>
      </c>
      <c r="C62">
        <v>0</v>
      </c>
      <c r="D62" t="s">
        <v>4</v>
      </c>
      <c r="E62" t="s">
        <v>0</v>
      </c>
      <c r="F62">
        <v>0.64</v>
      </c>
      <c r="G62">
        <v>0</v>
      </c>
      <c r="H62">
        <v>20</v>
      </c>
      <c r="I62">
        <f>SIGN(V62)*SUMIF(abaqus!A:A,CONCATENATE("=",ABS(V62)),abaqus!B:B)</f>
        <v>2.8274334300000001</v>
      </c>
      <c r="J62">
        <f>SIGN(W62)*SUMIF(abaqus!A:A,CONCATENATE("=",ABS(W62)),abaqus!B:B)</f>
        <v>2.8274334300000001</v>
      </c>
      <c r="K62">
        <f>IF(D62="E",I62,0)+IF(E62="E",-J62,0)</f>
        <v>-2.8274334300000001</v>
      </c>
      <c r="L62">
        <f>IF(D62="F",-I62,0)+IF(E62="F",J62,0)</f>
        <v>-2.8274334300000001</v>
      </c>
      <c r="M62">
        <f>(K62+L62)*0.5*5.6/2</f>
        <v>-7.9168136039999997</v>
      </c>
      <c r="N62">
        <f>(K62-L62)/3.97/2*5.6/2</f>
        <v>0</v>
      </c>
      <c r="O62">
        <v>0</v>
      </c>
      <c r="P62">
        <v>-25.066760706558973</v>
      </c>
      <c r="Q62">
        <v>35</v>
      </c>
      <c r="R62">
        <f t="shared" si="39"/>
        <v>103.68</v>
      </c>
      <c r="S62">
        <f t="shared" si="40"/>
        <v>-103.68</v>
      </c>
      <c r="V62">
        <f t="shared" si="35"/>
        <v>20</v>
      </c>
      <c r="W62">
        <f t="shared" si="36"/>
        <v>20</v>
      </c>
    </row>
    <row r="63" spans="1:23" x14ac:dyDescent="0.55000000000000004">
      <c r="A63">
        <v>-20</v>
      </c>
      <c r="B63">
        <v>35</v>
      </c>
      <c r="C63">
        <f>3.1415927/2</f>
        <v>1.57079635</v>
      </c>
      <c r="D63" t="s">
        <v>4</v>
      </c>
      <c r="E63" t="s">
        <v>0</v>
      </c>
      <c r="F63">
        <v>0.64</v>
      </c>
      <c r="G63">
        <v>0</v>
      </c>
      <c r="H63">
        <v>20</v>
      </c>
      <c r="I63">
        <f>SIGN(V63)*SUMIF(abaqus!A:A,CONCATENATE("=",ABS(V63)),abaqus!B:B)</f>
        <v>2.8274334300000001</v>
      </c>
      <c r="J63">
        <f>SIGN(W63)*SUMIF(abaqus!A:A,CONCATENATE("=",ABS(W63)),abaqus!B:B)</f>
        <v>2.8274334300000001</v>
      </c>
      <c r="K63">
        <f>IF(D63="E",I63,0)+IF(E63="E",-J63,0)</f>
        <v>-2.8274334300000001</v>
      </c>
      <c r="L63">
        <f>IF(D63="F",-I63,0)+IF(E63="F",J63,0)</f>
        <v>-2.8274334300000001</v>
      </c>
      <c r="M63">
        <f>(K63+L63)*0.5*5.6/2</f>
        <v>-7.9168136039999997</v>
      </c>
      <c r="N63">
        <f>(K63-L63)/3.97/2*5.6/2</f>
        <v>0</v>
      </c>
      <c r="O63">
        <v>90</v>
      </c>
      <c r="P63">
        <v>-19.999999882425072</v>
      </c>
      <c r="Q63">
        <v>29.933239293441027</v>
      </c>
      <c r="R63">
        <f t="shared" si="39"/>
        <v>103.68</v>
      </c>
      <c r="S63">
        <f t="shared" si="40"/>
        <v>-103.68</v>
      </c>
      <c r="V63">
        <f t="shared" si="35"/>
        <v>20</v>
      </c>
      <c r="W63">
        <f t="shared" si="36"/>
        <v>20</v>
      </c>
    </row>
    <row r="64" spans="1:23" x14ac:dyDescent="0.55000000000000004">
      <c r="A64">
        <v>-20</v>
      </c>
      <c r="B64">
        <v>35</v>
      </c>
      <c r="C64">
        <f>-3.1415927/2</f>
        <v>-1.57079635</v>
      </c>
      <c r="D64" t="s">
        <v>4</v>
      </c>
      <c r="E64" t="s">
        <v>0</v>
      </c>
      <c r="F64">
        <v>0.64</v>
      </c>
      <c r="G64">
        <v>0</v>
      </c>
      <c r="H64">
        <v>20</v>
      </c>
      <c r="I64">
        <f>SIGN(V64)*SUMIF(abaqus!A:A,CONCATENATE("=",ABS(V64)),abaqus!B:B)</f>
        <v>2.8274334300000001</v>
      </c>
      <c r="J64">
        <f>SIGN(W64)*SUMIF(abaqus!A:A,CONCATENATE("=",ABS(W64)),abaqus!B:B)</f>
        <v>2.8274334300000001</v>
      </c>
      <c r="K64">
        <f>IF(D64="E",I64,0)+IF(E64="E",-J64,0)</f>
        <v>-2.8274334300000001</v>
      </c>
      <c r="L64">
        <f>IF(D64="F",-I64,0)+IF(E64="F",J64,0)</f>
        <v>-2.8274334300000001</v>
      </c>
      <c r="M64">
        <f>(K64+L64)*0.5*5.6/2</f>
        <v>-7.9168136039999997</v>
      </c>
      <c r="N64">
        <f>(K64-L64)/3.97/2*5.6/2</f>
        <v>0</v>
      </c>
      <c r="O64">
        <v>-90</v>
      </c>
      <c r="P64">
        <v>-19.999999882425072</v>
      </c>
      <c r="Q64">
        <v>40.066760706558973</v>
      </c>
      <c r="R64">
        <f t="shared" si="39"/>
        <v>103.68</v>
      </c>
      <c r="S64">
        <f t="shared" si="40"/>
        <v>-103.68</v>
      </c>
      <c r="V64">
        <f t="shared" si="35"/>
        <v>20</v>
      </c>
      <c r="W64">
        <f t="shared" si="36"/>
        <v>20</v>
      </c>
    </row>
    <row r="65" spans="1:23" x14ac:dyDescent="0.55000000000000004">
      <c r="A65">
        <v>-20</v>
      </c>
      <c r="B65">
        <v>35</v>
      </c>
      <c r="C65">
        <f>3.1415927</f>
        <v>3.1415926999999999</v>
      </c>
      <c r="D65" t="s">
        <v>4</v>
      </c>
      <c r="E65" t="s">
        <v>0</v>
      </c>
      <c r="F65">
        <v>0.64</v>
      </c>
      <c r="G65">
        <v>0</v>
      </c>
      <c r="H65">
        <v>20</v>
      </c>
      <c r="I65">
        <f>SIGN(V65)*SUMIF(abaqus!A:A,CONCATENATE("=",ABS(V65)),abaqus!B:B)</f>
        <v>2.8274334300000001</v>
      </c>
      <c r="J65">
        <f>SIGN(W65)*SUMIF(abaqus!A:A,CONCATENATE("=",ABS(W65)),abaqus!B:B)</f>
        <v>2.8274334300000001</v>
      </c>
      <c r="K65">
        <f>IF(D65="E",I65,0)+IF(E65="E",-J65,0)</f>
        <v>-2.8274334300000001</v>
      </c>
      <c r="L65">
        <f>IF(D65="F",-I65,0)+IF(E65="F",J65,0)</f>
        <v>-2.8274334300000001</v>
      </c>
      <c r="M65">
        <f>(K65+L65)*0.5*5.6/2</f>
        <v>-7.9168136039999997</v>
      </c>
      <c r="N65">
        <f>(K65-L65)/3.97/2*5.6/2</f>
        <v>0</v>
      </c>
      <c r="O65">
        <v>180</v>
      </c>
      <c r="P65">
        <v>-14.933239293440549</v>
      </c>
      <c r="Q65">
        <v>35.000000235149855</v>
      </c>
      <c r="R65">
        <f t="shared" si="39"/>
        <v>103.68</v>
      </c>
      <c r="S65">
        <f t="shared" si="40"/>
        <v>-103.68</v>
      </c>
      <c r="V65">
        <f t="shared" si="35"/>
        <v>20</v>
      </c>
      <c r="W65">
        <f t="shared" si="36"/>
        <v>20</v>
      </c>
    </row>
    <row r="66" spans="1:23" x14ac:dyDescent="0.55000000000000004">
      <c r="A66">
        <v>-20</v>
      </c>
      <c r="B66">
        <v>35</v>
      </c>
      <c r="C66">
        <v>0</v>
      </c>
      <c r="D66" t="s">
        <v>4</v>
      </c>
      <c r="E66" t="s">
        <v>0</v>
      </c>
      <c r="F66">
        <v>0.64</v>
      </c>
      <c r="G66">
        <v>100</v>
      </c>
      <c r="H66">
        <v>50</v>
      </c>
      <c r="I66">
        <f>SIGN(V66)*SUMIF(abaqus!A:A,CONCATENATE("=",ABS(V66)),abaqus!B:B)</f>
        <v>7.0685835749999999</v>
      </c>
      <c r="J66">
        <f>SIGN(W66)*SUMIF(abaqus!A:A,CONCATENATE("=",ABS(W66)),abaqus!B:B)</f>
        <v>-7.0685835749999999</v>
      </c>
      <c r="K66">
        <f>IF(D66="E",I66,0)+IF(E66="E",-J66,0)</f>
        <v>7.0685835749999999</v>
      </c>
      <c r="L66">
        <f>IF(D66="F",-I66,0)+IF(E66="F",J66,0)</f>
        <v>-7.0685835749999999</v>
      </c>
      <c r="M66">
        <f>(K66+L66)*0.5*5.6/2</f>
        <v>0</v>
      </c>
      <c r="N66">
        <f>(K66-L66)/3.97/2*5.6/2</f>
        <v>4.9853989949622157</v>
      </c>
      <c r="O66">
        <v>182.81108312342889</v>
      </c>
      <c r="P66">
        <v>-20</v>
      </c>
      <c r="Q66">
        <v>35</v>
      </c>
      <c r="R66">
        <f t="shared" si="39"/>
        <v>-259.2</v>
      </c>
      <c r="S66">
        <f t="shared" si="40"/>
        <v>-259.2</v>
      </c>
      <c r="V66">
        <f t="shared" si="35"/>
        <v>50</v>
      </c>
      <c r="W66">
        <f t="shared" si="36"/>
        <v>-50</v>
      </c>
    </row>
    <row r="67" spans="1:23" x14ac:dyDescent="0.55000000000000004">
      <c r="A67">
        <v>-20</v>
      </c>
      <c r="B67">
        <v>35</v>
      </c>
      <c r="C67">
        <f>3.1415927/2</f>
        <v>1.57079635</v>
      </c>
      <c r="D67" t="s">
        <v>4</v>
      </c>
      <c r="E67" t="s">
        <v>0</v>
      </c>
      <c r="F67">
        <v>0.32</v>
      </c>
      <c r="G67">
        <v>100</v>
      </c>
      <c r="H67">
        <v>50</v>
      </c>
      <c r="I67">
        <f>SIGN(V67)*SUMIF(abaqus!A:A,CONCATENATE("=",ABS(V67)),abaqus!B:B)</f>
        <v>7.0685835749999999</v>
      </c>
      <c r="J67">
        <f>SIGN(W67)*SUMIF(abaqus!A:A,CONCATENATE("=",ABS(W67)),abaqus!B:B)</f>
        <v>-7.0685835749999999</v>
      </c>
      <c r="K67">
        <f>IF(D67="E",I67,0)+IF(E67="E",-J67,0)</f>
        <v>7.0685835749999999</v>
      </c>
      <c r="L67">
        <f>IF(D67="F",-I67,0)+IF(E67="F",J67,0)</f>
        <v>-7.0685835749999999</v>
      </c>
      <c r="M67">
        <f t="shared" ref="M67:M77" si="55">(K67+L67)*0.5*5.6/2</f>
        <v>0</v>
      </c>
      <c r="N67">
        <f t="shared" ref="N67:N77" si="56">(K67-L67)/3.97/2*5.6/2</f>
        <v>4.9853989949622157</v>
      </c>
      <c r="O67">
        <v>181.40554156171058</v>
      </c>
      <c r="P67">
        <v>-20</v>
      </c>
      <c r="Q67">
        <v>35</v>
      </c>
      <c r="R67">
        <f t="shared" si="39"/>
        <v>-129.6</v>
      </c>
      <c r="S67">
        <f t="shared" si="40"/>
        <v>-129.6</v>
      </c>
      <c r="V67">
        <f t="shared" si="35"/>
        <v>50</v>
      </c>
      <c r="W67">
        <f t="shared" si="36"/>
        <v>-50</v>
      </c>
    </row>
    <row r="68" spans="1:23" x14ac:dyDescent="0.55000000000000004">
      <c r="A68">
        <v>-20</v>
      </c>
      <c r="B68">
        <v>35</v>
      </c>
      <c r="C68">
        <f>-3.1415927/2</f>
        <v>-1.57079635</v>
      </c>
      <c r="D68" t="s">
        <v>4</v>
      </c>
      <c r="E68" t="s">
        <v>0</v>
      </c>
      <c r="F68">
        <v>0.32</v>
      </c>
      <c r="G68">
        <v>100</v>
      </c>
      <c r="H68">
        <v>50</v>
      </c>
      <c r="I68">
        <f>SIGN(V68)*SUMIF(abaqus!A:A,CONCATENATE("=",ABS(V68)),abaqus!B:B)</f>
        <v>7.0685835749999999</v>
      </c>
      <c r="J68">
        <f>SIGN(W68)*SUMIF(abaqus!A:A,CONCATENATE("=",ABS(W68)),abaqus!B:B)</f>
        <v>-7.0685835749999999</v>
      </c>
      <c r="K68">
        <f>IF(D68="E",I68,0)+IF(E68="E",-J68,0)</f>
        <v>7.0685835749999999</v>
      </c>
      <c r="L68">
        <f>IF(D68="F",-I68,0)+IF(E68="F",J68,0)</f>
        <v>-7.0685835749999999</v>
      </c>
      <c r="M68">
        <f t="shared" si="55"/>
        <v>0</v>
      </c>
      <c r="N68">
        <f t="shared" si="56"/>
        <v>4.9853989949622157</v>
      </c>
      <c r="O68">
        <v>1.4055415617139311</v>
      </c>
      <c r="P68">
        <v>-20</v>
      </c>
      <c r="Q68">
        <v>35</v>
      </c>
      <c r="R68">
        <f t="shared" si="39"/>
        <v>-129.6</v>
      </c>
      <c r="S68">
        <f t="shared" si="40"/>
        <v>-129.6</v>
      </c>
      <c r="V68">
        <f t="shared" si="35"/>
        <v>50</v>
      </c>
      <c r="W68">
        <f t="shared" si="36"/>
        <v>-50</v>
      </c>
    </row>
    <row r="69" spans="1:23" x14ac:dyDescent="0.55000000000000004">
      <c r="A69">
        <v>-20</v>
      </c>
      <c r="B69">
        <v>35</v>
      </c>
      <c r="C69">
        <f>3.1415927</f>
        <v>3.1415926999999999</v>
      </c>
      <c r="D69" t="s">
        <v>4</v>
      </c>
      <c r="E69" t="s">
        <v>0</v>
      </c>
      <c r="F69">
        <v>0.32</v>
      </c>
      <c r="G69">
        <v>100</v>
      </c>
      <c r="H69">
        <v>50</v>
      </c>
      <c r="I69">
        <f>SIGN(V69)*SUMIF(abaqus!A:A,CONCATENATE("=",ABS(V69)),abaqus!B:B)</f>
        <v>7.0685835749999999</v>
      </c>
      <c r="J69">
        <f>SIGN(W69)*SUMIF(abaqus!A:A,CONCATENATE("=",ABS(W69)),abaqus!B:B)</f>
        <v>-7.0685835749999999</v>
      </c>
      <c r="K69">
        <f>IF(D69="E",I69,0)+IF(E69="E",-J69,0)</f>
        <v>7.0685835749999999</v>
      </c>
      <c r="L69">
        <f>IF(D69="F",-I69,0)+IF(E69="F",J69,0)</f>
        <v>-7.0685835749999999</v>
      </c>
      <c r="M69">
        <f t="shared" si="55"/>
        <v>0</v>
      </c>
      <c r="N69">
        <f t="shared" si="56"/>
        <v>4.9853989949622157</v>
      </c>
      <c r="O69">
        <v>271.40554156171584</v>
      </c>
      <c r="P69">
        <v>-20</v>
      </c>
      <c r="Q69">
        <v>35</v>
      </c>
      <c r="R69">
        <f t="shared" si="39"/>
        <v>-129.6</v>
      </c>
      <c r="S69">
        <f t="shared" si="40"/>
        <v>-129.6</v>
      </c>
      <c r="V69">
        <f t="shared" si="35"/>
        <v>50</v>
      </c>
      <c r="W69">
        <f t="shared" si="36"/>
        <v>-50</v>
      </c>
    </row>
    <row r="70" spans="1:23" x14ac:dyDescent="0.55000000000000004">
      <c r="A70">
        <v>-20</v>
      </c>
      <c r="B70">
        <v>35</v>
      </c>
      <c r="C70">
        <v>0</v>
      </c>
      <c r="D70" t="s">
        <v>4</v>
      </c>
      <c r="E70" t="s">
        <v>0</v>
      </c>
      <c r="F70">
        <v>0.64</v>
      </c>
      <c r="G70">
        <v>99</v>
      </c>
      <c r="H70">
        <v>50</v>
      </c>
      <c r="I70">
        <f>SIGN(V70)*SUMIF(abaqus!A:A,CONCATENATE("=",ABS(V70)),abaqus!B:B)</f>
        <v>7.0685835749999999</v>
      </c>
      <c r="J70">
        <f>SIGN(W70)*SUMIF(abaqus!A:A,CONCATENATE("=",ABS(W70)),abaqus!B:B)</f>
        <v>0</v>
      </c>
      <c r="K70">
        <f>IF(D70="E",I70,0)+IF(E70="E",-J70,0)</f>
        <v>0</v>
      </c>
      <c r="L70">
        <f>IF(D70="F",-I70,0)+IF(E70="F",J70,0)</f>
        <v>-7.0685835749999999</v>
      </c>
      <c r="M70">
        <f>(K70+L70)*0.5*5.6/2</f>
        <v>-9.8960170049999991</v>
      </c>
      <c r="N70">
        <f>(K70-L70)/3.97/2*5.6/2</f>
        <v>2.4926994974811079</v>
      </c>
      <c r="O70">
        <v>91.405541561714443</v>
      </c>
      <c r="P70">
        <v>-23.968805769169187</v>
      </c>
      <c r="Q70">
        <v>30.932620038578399</v>
      </c>
      <c r="R70">
        <f t="shared" ref="R70:R73" si="57">-K70*$F70/3.1415927*180</f>
        <v>0</v>
      </c>
      <c r="S70">
        <f t="shared" ref="S70:S73" si="58">L70*$F70/3.1415927*180</f>
        <v>-259.2</v>
      </c>
      <c r="V70">
        <f t="shared" ref="V70:V73" si="59">IF(G70=100,H70,IF(G70=-100,-H70,IF(G70&lt;0,H70*(100+G70)/100,H70)))</f>
        <v>50</v>
      </c>
      <c r="W70">
        <f t="shared" ref="W70:W73" si="60">IF(G70=100,-H70,IF(G70=-100,H70,IF(G70&gt;0,H70*(100-G70)/100,H70)))</f>
        <v>0.5</v>
      </c>
    </row>
    <row r="71" spans="1:23" x14ac:dyDescent="0.55000000000000004">
      <c r="A71">
        <v>-20</v>
      </c>
      <c r="B71">
        <v>35</v>
      </c>
      <c r="C71">
        <f>3.1415927/2</f>
        <v>1.57079635</v>
      </c>
      <c r="D71" t="s">
        <v>4</v>
      </c>
      <c r="E71" t="s">
        <v>0</v>
      </c>
      <c r="F71">
        <v>0.32</v>
      </c>
      <c r="G71">
        <v>99</v>
      </c>
      <c r="H71">
        <v>50</v>
      </c>
      <c r="I71">
        <f>SIGN(V71)*SUMIF(abaqus!A:A,CONCATENATE("=",ABS(V71)),abaqus!B:B)</f>
        <v>7.0685835749999999</v>
      </c>
      <c r="J71">
        <f>SIGN(W71)*SUMIF(abaqus!A:A,CONCATENATE("=",ABS(W71)),abaqus!B:B)</f>
        <v>0</v>
      </c>
      <c r="K71">
        <f>IF(D71="E",I71,0)+IF(E71="E",-J71,0)</f>
        <v>0</v>
      </c>
      <c r="L71">
        <f>IF(D71="F",-I71,0)+IF(E71="F",J71,0)</f>
        <v>-7.0685835749999999</v>
      </c>
      <c r="M71">
        <f t="shared" ref="M71:M73" si="61">(K71+L71)*0.5*5.6/2</f>
        <v>-9.8960170049999991</v>
      </c>
      <c r="N71">
        <f t="shared" ref="N71:N73" si="62">(K71-L71)/3.97/2*5.6/2</f>
        <v>2.4926994974811079</v>
      </c>
      <c r="O71">
        <v>135.70277078085792</v>
      </c>
      <c r="P71">
        <v>-18.802573255357476</v>
      </c>
      <c r="Q71">
        <v>32.158563370703661</v>
      </c>
      <c r="R71">
        <f t="shared" si="57"/>
        <v>0</v>
      </c>
      <c r="S71">
        <f t="shared" si="58"/>
        <v>-129.6</v>
      </c>
      <c r="V71">
        <f t="shared" si="59"/>
        <v>50</v>
      </c>
      <c r="W71">
        <f t="shared" si="60"/>
        <v>0.5</v>
      </c>
    </row>
    <row r="72" spans="1:23" x14ac:dyDescent="0.55000000000000004">
      <c r="A72">
        <v>-20</v>
      </c>
      <c r="B72">
        <v>35</v>
      </c>
      <c r="C72">
        <f>-3.1415927/2</f>
        <v>-1.57079635</v>
      </c>
      <c r="D72" t="s">
        <v>4</v>
      </c>
      <c r="E72" t="s">
        <v>0</v>
      </c>
      <c r="F72">
        <v>0.32</v>
      </c>
      <c r="G72">
        <v>99</v>
      </c>
      <c r="H72">
        <v>50</v>
      </c>
      <c r="I72">
        <f>SIGN(V72)*SUMIF(abaqus!A:A,CONCATENATE("=",ABS(V72)),abaqus!B:B)</f>
        <v>7.0685835749999999</v>
      </c>
      <c r="J72">
        <f>SIGN(W72)*SUMIF(abaqus!A:A,CONCATENATE("=",ABS(W72)),abaqus!B:B)</f>
        <v>0</v>
      </c>
      <c r="K72">
        <f>IF(D72="E",I72,0)+IF(E72="E",-J72,0)</f>
        <v>0</v>
      </c>
      <c r="L72">
        <f>IF(D72="F",-I72,0)+IF(E72="F",J72,0)</f>
        <v>-7.0685835749999999</v>
      </c>
      <c r="M72">
        <f t="shared" si="61"/>
        <v>-9.8960170049999991</v>
      </c>
      <c r="N72">
        <f t="shared" si="62"/>
        <v>2.4926994974811079</v>
      </c>
      <c r="O72">
        <v>-44.297229219144654</v>
      </c>
      <c r="P72">
        <v>-21.197426612770823</v>
      </c>
      <c r="Q72">
        <v>37.84143668486908</v>
      </c>
      <c r="R72">
        <f t="shared" si="57"/>
        <v>0</v>
      </c>
      <c r="S72">
        <f t="shared" si="58"/>
        <v>-129.6</v>
      </c>
      <c r="V72">
        <f t="shared" si="59"/>
        <v>50</v>
      </c>
      <c r="W72">
        <f t="shared" si="60"/>
        <v>0.5</v>
      </c>
    </row>
    <row r="73" spans="1:23" x14ac:dyDescent="0.55000000000000004">
      <c r="A73">
        <v>-20</v>
      </c>
      <c r="B73">
        <v>35</v>
      </c>
      <c r="C73">
        <f>3.1415927</f>
        <v>3.1415926999999999</v>
      </c>
      <c r="D73" t="s">
        <v>4</v>
      </c>
      <c r="E73" t="s">
        <v>0</v>
      </c>
      <c r="F73">
        <v>0.32</v>
      </c>
      <c r="G73">
        <v>99</v>
      </c>
      <c r="H73">
        <v>50</v>
      </c>
      <c r="I73">
        <f>SIGN(V73)*SUMIF(abaqus!A:A,CONCATENATE("=",ABS(V73)),abaqus!B:B)</f>
        <v>7.0685835749999999</v>
      </c>
      <c r="J73">
        <f>SIGN(W73)*SUMIF(abaqus!A:A,CONCATENATE("=",ABS(W73)),abaqus!B:B)</f>
        <v>0</v>
      </c>
      <c r="K73">
        <f>IF(D73="E",I73,0)+IF(E73="E",-J73,0)</f>
        <v>0</v>
      </c>
      <c r="L73">
        <f>IF(D73="F",-I73,0)+IF(E73="F",J73,0)</f>
        <v>-7.0685835749999999</v>
      </c>
      <c r="M73">
        <f t="shared" si="61"/>
        <v>-9.8960170049999991</v>
      </c>
      <c r="N73">
        <f t="shared" si="62"/>
        <v>2.4926994974811079</v>
      </c>
      <c r="O73">
        <v>225.70277078086229</v>
      </c>
      <c r="P73">
        <v>-17.158563398490195</v>
      </c>
      <c r="Q73">
        <v>36.197426810578541</v>
      </c>
      <c r="R73">
        <f t="shared" si="57"/>
        <v>0</v>
      </c>
      <c r="S73">
        <f t="shared" si="58"/>
        <v>-129.6</v>
      </c>
      <c r="V73">
        <f t="shared" si="59"/>
        <v>50</v>
      </c>
      <c r="W73">
        <f t="shared" si="60"/>
        <v>0.5</v>
      </c>
    </row>
    <row r="74" spans="1:23" x14ac:dyDescent="0.55000000000000004">
      <c r="A74">
        <v>-20</v>
      </c>
      <c r="B74">
        <v>35</v>
      </c>
      <c r="C74">
        <f>3.1415927/2</f>
        <v>1.57079635</v>
      </c>
      <c r="D74" t="s">
        <v>4</v>
      </c>
      <c r="E74" t="s">
        <v>0</v>
      </c>
      <c r="F74">
        <v>0.32</v>
      </c>
      <c r="G74">
        <v>50</v>
      </c>
      <c r="H74">
        <v>50</v>
      </c>
      <c r="I74">
        <f>SIGN(V74)*SUMIF(abaqus!A:A,CONCATENATE("=",ABS(V74)),abaqus!B:B)</f>
        <v>7.0685835749999999</v>
      </c>
      <c r="J74">
        <f>SIGN(W74)*SUMIF(abaqus!A:A,CONCATENATE("=",ABS(W74)),abaqus!B:B)</f>
        <v>3.534291788</v>
      </c>
      <c r="K74">
        <f>IF(D74="E",I74,0)+IF(E74="E",-J74,0)</f>
        <v>-3.534291788</v>
      </c>
      <c r="L74">
        <f>IF(D74="F",-I74,0)+IF(E74="F",J74,0)</f>
        <v>-7.0685835749999999</v>
      </c>
      <c r="M74">
        <f t="shared" si="55"/>
        <v>-14.844025508199998</v>
      </c>
      <c r="N74">
        <f t="shared" si="56"/>
        <v>1.2463497485642316</v>
      </c>
      <c r="O74">
        <v>112.85138538719869</v>
      </c>
      <c r="P74">
        <v>-19.06524848754562</v>
      </c>
      <c r="Q74">
        <v>30.374843404721581</v>
      </c>
      <c r="R74">
        <f t="shared" si="39"/>
        <v>64.80000000916732</v>
      </c>
      <c r="S74">
        <f t="shared" si="40"/>
        <v>-129.6</v>
      </c>
      <c r="V74">
        <f t="shared" si="35"/>
        <v>50</v>
      </c>
      <c r="W74">
        <f t="shared" si="36"/>
        <v>25</v>
      </c>
    </row>
    <row r="75" spans="1:23" x14ac:dyDescent="0.55000000000000004">
      <c r="A75">
        <v>-20</v>
      </c>
      <c r="B75">
        <v>35</v>
      </c>
      <c r="C75">
        <f>3.1415927/2</f>
        <v>1.57079635</v>
      </c>
      <c r="D75" t="s">
        <v>4</v>
      </c>
      <c r="E75" t="s">
        <v>0</v>
      </c>
      <c r="F75">
        <v>0.32</v>
      </c>
      <c r="G75">
        <v>50</v>
      </c>
      <c r="H75">
        <v>50</v>
      </c>
      <c r="I75">
        <f>SIGN(V75)*SUMIF(abaqus!A:A,CONCATENATE("=",ABS(V75)),abaqus!B:B)</f>
        <v>7.0685835749999999</v>
      </c>
      <c r="J75">
        <f>SIGN(W75)*SUMIF(abaqus!A:A,CONCATENATE("=",ABS(W75)),abaqus!B:B)</f>
        <v>3.534291788</v>
      </c>
      <c r="K75">
        <f>IF(D75="E",I75,0)+IF(E75="E",-J75,0)</f>
        <v>-3.534291788</v>
      </c>
      <c r="L75">
        <f>IF(D75="F",-I75,0)+IF(E75="F",J75,0)</f>
        <v>-7.0685835749999999</v>
      </c>
      <c r="M75">
        <f t="shared" si="55"/>
        <v>-14.844025508199998</v>
      </c>
      <c r="N75">
        <f t="shared" si="56"/>
        <v>1.2463497485642316</v>
      </c>
      <c r="O75">
        <v>112.85138538719869</v>
      </c>
      <c r="P75">
        <v>-19.06524848754562</v>
      </c>
      <c r="Q75">
        <v>30.374843404721581</v>
      </c>
      <c r="R75">
        <f t="shared" si="39"/>
        <v>64.80000000916732</v>
      </c>
      <c r="S75">
        <f t="shared" si="40"/>
        <v>-129.6</v>
      </c>
      <c r="V75">
        <f t="shared" si="35"/>
        <v>50</v>
      </c>
      <c r="W75">
        <f t="shared" si="36"/>
        <v>25</v>
      </c>
    </row>
    <row r="76" spans="1:23" x14ac:dyDescent="0.55000000000000004">
      <c r="A76">
        <v>-20</v>
      </c>
      <c r="B76">
        <v>35</v>
      </c>
      <c r="C76">
        <f>-3.1415927/2</f>
        <v>-1.57079635</v>
      </c>
      <c r="D76" t="s">
        <v>4</v>
      </c>
      <c r="E76" t="s">
        <v>0</v>
      </c>
      <c r="F76">
        <v>0.32</v>
      </c>
      <c r="G76">
        <v>50</v>
      </c>
      <c r="H76">
        <v>50</v>
      </c>
      <c r="I76">
        <f>SIGN(V76)*SUMIF(abaqus!A:A,CONCATENATE("=",ABS(V76)),abaqus!B:B)</f>
        <v>7.0685835749999999</v>
      </c>
      <c r="J76">
        <f>SIGN(W76)*SUMIF(abaqus!A:A,CONCATENATE("=",ABS(W76)),abaqus!B:B)</f>
        <v>3.534291788</v>
      </c>
      <c r="K76">
        <f>IF(D76="E",I76,0)+IF(E76="E",-J76,0)</f>
        <v>-3.534291788</v>
      </c>
      <c r="L76">
        <f>IF(D76="F",-I76,0)+IF(E76="F",J76,0)</f>
        <v>-7.0685835749999999</v>
      </c>
      <c r="M76">
        <f t="shared" si="55"/>
        <v>-14.844025508199998</v>
      </c>
      <c r="N76">
        <f t="shared" si="56"/>
        <v>1.2463497485642316</v>
      </c>
      <c r="O76">
        <v>-67.14861461280131</v>
      </c>
      <c r="P76">
        <v>-20.934751297799835</v>
      </c>
      <c r="Q76">
        <v>39.625156638660428</v>
      </c>
      <c r="R76">
        <f t="shared" si="39"/>
        <v>64.80000000916732</v>
      </c>
      <c r="S76">
        <f t="shared" si="40"/>
        <v>-129.6</v>
      </c>
      <c r="V76">
        <f t="shared" si="35"/>
        <v>50</v>
      </c>
      <c r="W76">
        <f t="shared" si="36"/>
        <v>25</v>
      </c>
    </row>
    <row r="77" spans="1:23" x14ac:dyDescent="0.55000000000000004">
      <c r="A77">
        <v>-20</v>
      </c>
      <c r="B77">
        <v>35</v>
      </c>
      <c r="C77">
        <f>3.1415927</f>
        <v>3.1415926999999999</v>
      </c>
      <c r="D77" t="s">
        <v>4</v>
      </c>
      <c r="E77" t="s">
        <v>0</v>
      </c>
      <c r="F77">
        <v>0.32</v>
      </c>
      <c r="G77">
        <v>50</v>
      </c>
      <c r="H77">
        <v>50</v>
      </c>
      <c r="I77">
        <f>SIGN(V77)*SUMIF(abaqus!A:A,CONCATENATE("=",ABS(V77)),abaqus!B:B)</f>
        <v>7.0685835749999999</v>
      </c>
      <c r="J77">
        <f>SIGN(W77)*SUMIF(abaqus!A:A,CONCATENATE("=",ABS(W77)),abaqus!B:B)</f>
        <v>3.534291788</v>
      </c>
      <c r="K77">
        <f>IF(D77="E",I77,0)+IF(E77="E",-J77,0)</f>
        <v>-3.534291788</v>
      </c>
      <c r="L77">
        <f>IF(D77="F",-I77,0)+IF(E77="F",J77,0)</f>
        <v>-7.0685835749999999</v>
      </c>
      <c r="M77">
        <f t="shared" si="55"/>
        <v>-14.844025508199998</v>
      </c>
      <c r="N77">
        <f t="shared" si="56"/>
        <v>1.2463497485642316</v>
      </c>
      <c r="O77">
        <v>202.85138538719869</v>
      </c>
      <c r="P77">
        <v>-15.374843426412657</v>
      </c>
      <c r="Q77">
        <v>35.934751619781579</v>
      </c>
      <c r="R77">
        <f t="shared" si="39"/>
        <v>64.80000000916732</v>
      </c>
      <c r="S77">
        <f t="shared" si="40"/>
        <v>-129.6</v>
      </c>
      <c r="V77">
        <f t="shared" si="35"/>
        <v>50</v>
      </c>
      <c r="W77">
        <f t="shared" si="36"/>
        <v>25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907C5-A2AC-4D34-B054-FDC4D5AEFFB8}">
  <sheetPr codeName="Sheet4"/>
  <dimension ref="A1:S55"/>
  <sheetViews>
    <sheetView zoomScale="63" zoomScaleNormal="63" workbookViewId="0">
      <selection activeCell="O35" sqref="O35"/>
    </sheetView>
  </sheetViews>
  <sheetFormatPr defaultRowHeight="14.4" x14ac:dyDescent="0.55000000000000004"/>
  <cols>
    <col min="7" max="7" width="13.578125" customWidth="1"/>
    <col min="8" max="8" width="15" customWidth="1"/>
  </cols>
  <sheetData>
    <row r="1" spans="1:19" x14ac:dyDescent="0.55000000000000004">
      <c r="A1" t="s">
        <v>1</v>
      </c>
      <c r="B1" t="s">
        <v>2</v>
      </c>
      <c r="C1" t="s">
        <v>3</v>
      </c>
      <c r="D1" t="s">
        <v>5</v>
      </c>
      <c r="E1" t="s">
        <v>6</v>
      </c>
      <c r="F1" t="s">
        <v>12</v>
      </c>
      <c r="G1" t="s">
        <v>19</v>
      </c>
      <c r="H1" t="s">
        <v>20</v>
      </c>
      <c r="I1" t="s">
        <v>16</v>
      </c>
      <c r="J1" t="s">
        <v>17</v>
      </c>
      <c r="K1" t="s">
        <v>29</v>
      </c>
      <c r="L1" t="s">
        <v>30</v>
      </c>
      <c r="M1" t="s">
        <v>14</v>
      </c>
      <c r="N1" t="s">
        <v>15</v>
      </c>
      <c r="O1" t="s">
        <v>10</v>
      </c>
      <c r="P1" t="s">
        <v>8</v>
      </c>
      <c r="Q1" t="s">
        <v>9</v>
      </c>
      <c r="R1" t="s">
        <v>25</v>
      </c>
      <c r="S1" t="s">
        <v>26</v>
      </c>
    </row>
    <row r="2" spans="1:19" x14ac:dyDescent="0.55000000000000004">
      <c r="A2">
        <v>0</v>
      </c>
      <c r="B2">
        <v>0</v>
      </c>
      <c r="C2">
        <v>0</v>
      </c>
      <c r="D2" t="s">
        <v>0</v>
      </c>
      <c r="E2" t="s">
        <v>4</v>
      </c>
      <c r="F2">
        <v>0.64</v>
      </c>
      <c r="G2">
        <v>20</v>
      </c>
      <c r="H2">
        <v>20</v>
      </c>
      <c r="I2">
        <f>SIGN(G2)*SUMIF(abaqus!A:A,CONCATENATE("=",ABS(G2)),abaqus!B:B)</f>
        <v>2.8274334300000001</v>
      </c>
      <c r="J2">
        <f>SIGN(H2)*SUMIF(abaqus!A:A,CONCATENATE("=",ABS(H2)),abaqus!B:B)</f>
        <v>2.8274334300000001</v>
      </c>
      <c r="K2">
        <f>IF(D2="E",I2,0)+IF(E2="E",-J2,0)</f>
        <v>2.8274334300000001</v>
      </c>
      <c r="L2">
        <f>IF(D2="F",-I2,0)+IF(E2="F",J2,0)</f>
        <v>2.8274334300000001</v>
      </c>
      <c r="M2">
        <f>(K2+L2)*0.5*5.6/2</f>
        <v>7.9168136039999997</v>
      </c>
      <c r="N2">
        <f>(K2-L2)/3.97/2*5.6/2</f>
        <v>0</v>
      </c>
      <c r="O2">
        <v>0</v>
      </c>
      <c r="P2">
        <v>5.0667607065601103</v>
      </c>
      <c r="Q2">
        <v>0</v>
      </c>
      <c r="R2">
        <f>-K2*$F2/3.1415927*180</f>
        <v>-103.68</v>
      </c>
      <c r="S2">
        <f>L2*$F2/3.1415927*180</f>
        <v>103.68</v>
      </c>
    </row>
    <row r="3" spans="1:19" x14ac:dyDescent="0.55000000000000004">
      <c r="A3">
        <v>0</v>
      </c>
      <c r="B3">
        <v>0</v>
      </c>
      <c r="C3">
        <v>0</v>
      </c>
      <c r="D3" t="s">
        <v>0</v>
      </c>
      <c r="E3" t="s">
        <v>4</v>
      </c>
      <c r="F3">
        <v>0.64</v>
      </c>
      <c r="G3">
        <v>-20</v>
      </c>
      <c r="H3">
        <v>-20</v>
      </c>
      <c r="I3">
        <f>SIGN(G3)*SUMIF(abaqus!A:A,CONCATENATE("=",ABS(G3)),abaqus!B:B)</f>
        <v>-2.8274334300000001</v>
      </c>
      <c r="J3">
        <f>SIGN(H3)*SUMIF(abaqus!A:A,CONCATENATE("=",ABS(H3)),abaqus!B:B)</f>
        <v>-2.8274334300000001</v>
      </c>
      <c r="K3">
        <f t="shared" ref="K3:K55" si="0">IF(D3="E",I3,0)+IF(E3="E",-J3,0)</f>
        <v>-2.8274334300000001</v>
      </c>
      <c r="L3">
        <f t="shared" ref="L3:L55" si="1">IF(D3="F",-I3,0)+IF(E3="F",J3,0)</f>
        <v>-2.8274334300000001</v>
      </c>
      <c r="M3">
        <f t="shared" ref="M3:M10" si="2">(K3+L3)*0.5*5.6/2</f>
        <v>-7.9168136039999997</v>
      </c>
      <c r="N3">
        <f t="shared" ref="N3:N10" si="3">(K3-L3)/3.97/2*5.6/2</f>
        <v>0</v>
      </c>
      <c r="O3">
        <v>0</v>
      </c>
      <c r="P3">
        <v>-5.0667607065601103</v>
      </c>
      <c r="Q3">
        <v>0</v>
      </c>
      <c r="R3">
        <f t="shared" ref="R3:R32" si="4">-K3*$F3/3.1415927*180</f>
        <v>103.68</v>
      </c>
      <c r="S3">
        <f t="shared" ref="S3:S10" si="5">L3*$F3/3.1415927*180</f>
        <v>-103.68</v>
      </c>
    </row>
    <row r="4" spans="1:19" x14ac:dyDescent="0.55000000000000004">
      <c r="A4">
        <v>0</v>
      </c>
      <c r="B4">
        <v>0</v>
      </c>
      <c r="C4">
        <v>0</v>
      </c>
      <c r="D4" t="s">
        <v>0</v>
      </c>
      <c r="E4" t="s">
        <v>4</v>
      </c>
      <c r="F4">
        <v>0.64</v>
      </c>
      <c r="G4">
        <v>40</v>
      </c>
      <c r="H4">
        <v>40</v>
      </c>
      <c r="I4">
        <f>SIGN(G4)*SUMIF(abaqus!A:A,CONCATENATE("=",ABS(G4)),abaqus!B:B)</f>
        <v>5.6548668600000003</v>
      </c>
      <c r="J4">
        <f>SIGN(H4)*SUMIF(abaqus!A:A,CONCATENATE("=",ABS(H4)),abaqus!B:B)</f>
        <v>5.6548668600000003</v>
      </c>
      <c r="K4">
        <f t="shared" si="0"/>
        <v>5.6548668600000003</v>
      </c>
      <c r="L4">
        <f t="shared" si="1"/>
        <v>5.6548668600000003</v>
      </c>
      <c r="M4">
        <f t="shared" si="2"/>
        <v>15.833627207999999</v>
      </c>
      <c r="N4">
        <f t="shared" si="3"/>
        <v>0</v>
      </c>
      <c r="O4">
        <v>0</v>
      </c>
      <c r="P4">
        <v>10.133521413120221</v>
      </c>
      <c r="Q4">
        <v>0</v>
      </c>
      <c r="R4">
        <f t="shared" si="4"/>
        <v>-207.36</v>
      </c>
      <c r="S4">
        <f t="shared" si="5"/>
        <v>207.36</v>
      </c>
    </row>
    <row r="5" spans="1:19" x14ac:dyDescent="0.55000000000000004">
      <c r="A5">
        <v>0</v>
      </c>
      <c r="B5">
        <v>0</v>
      </c>
      <c r="C5">
        <v>0</v>
      </c>
      <c r="D5" t="s">
        <v>0</v>
      </c>
      <c r="E5" t="s">
        <v>4</v>
      </c>
      <c r="F5">
        <v>0.64</v>
      </c>
      <c r="G5">
        <v>-40</v>
      </c>
      <c r="H5">
        <v>-40</v>
      </c>
      <c r="I5">
        <f>SIGN(G5)*SUMIF(abaqus!A:A,CONCATENATE("=",ABS(G5)),abaqus!B:B)</f>
        <v>-5.6548668600000003</v>
      </c>
      <c r="J5">
        <f>SIGN(H5)*SUMIF(abaqus!A:A,CONCATENATE("=",ABS(H5)),abaqus!B:B)</f>
        <v>-5.6548668600000003</v>
      </c>
      <c r="K5">
        <f t="shared" si="0"/>
        <v>-5.6548668600000003</v>
      </c>
      <c r="L5">
        <f t="shared" si="1"/>
        <v>-5.6548668600000003</v>
      </c>
      <c r="M5">
        <f t="shared" si="2"/>
        <v>-15.833627207999999</v>
      </c>
      <c r="N5">
        <f t="shared" si="3"/>
        <v>0</v>
      </c>
      <c r="O5">
        <v>0</v>
      </c>
      <c r="P5">
        <v>-10.133521413120221</v>
      </c>
      <c r="Q5">
        <v>0</v>
      </c>
      <c r="R5">
        <f t="shared" si="4"/>
        <v>207.36</v>
      </c>
      <c r="S5">
        <f t="shared" si="5"/>
        <v>-207.36</v>
      </c>
    </row>
    <row r="6" spans="1:19" x14ac:dyDescent="0.55000000000000004">
      <c r="A6">
        <v>0</v>
      </c>
      <c r="B6">
        <v>0</v>
      </c>
      <c r="C6">
        <v>0</v>
      </c>
      <c r="D6" t="s">
        <v>0</v>
      </c>
      <c r="E6" t="s">
        <v>4</v>
      </c>
      <c r="F6">
        <v>1.28</v>
      </c>
      <c r="G6">
        <v>-20</v>
      </c>
      <c r="H6">
        <v>-20</v>
      </c>
      <c r="I6">
        <f>SIGN(G6)*SUMIF(abaqus!A:A,CONCATENATE("=",ABS(G6)),abaqus!B:B)</f>
        <v>-2.8274334300000001</v>
      </c>
      <c r="J6">
        <f>SIGN(H6)*SUMIF(abaqus!A:A,CONCATENATE("=",ABS(H6)),abaqus!B:B)</f>
        <v>-2.8274334300000001</v>
      </c>
      <c r="K6">
        <f t="shared" si="0"/>
        <v>-2.8274334300000001</v>
      </c>
      <c r="L6">
        <f t="shared" si="1"/>
        <v>-2.8274334300000001</v>
      </c>
      <c r="M6">
        <f t="shared" si="2"/>
        <v>-7.9168136039999997</v>
      </c>
      <c r="N6">
        <f t="shared" si="3"/>
        <v>0</v>
      </c>
      <c r="O6">
        <v>0</v>
      </c>
      <c r="P6">
        <v>-10.133521413121136</v>
      </c>
      <c r="Q6">
        <v>0</v>
      </c>
      <c r="R6">
        <f t="shared" si="4"/>
        <v>207.36</v>
      </c>
      <c r="S6">
        <f t="shared" si="5"/>
        <v>-207.36</v>
      </c>
    </row>
    <row r="7" spans="1:19" x14ac:dyDescent="0.55000000000000004">
      <c r="A7">
        <v>0</v>
      </c>
      <c r="B7">
        <v>0</v>
      </c>
      <c r="C7">
        <v>0</v>
      </c>
      <c r="D7" t="s">
        <v>0</v>
      </c>
      <c r="E7" t="s">
        <v>4</v>
      </c>
      <c r="F7">
        <v>0.32</v>
      </c>
      <c r="G7">
        <v>50</v>
      </c>
      <c r="H7">
        <v>-50</v>
      </c>
      <c r="I7">
        <f>SIGN(G7)*SUMIF(abaqus!A:A,CONCATENATE("=",ABS(G7)),abaqus!B:B)</f>
        <v>7.0685835749999999</v>
      </c>
      <c r="J7">
        <f>SIGN(H7)*SUMIF(abaqus!A:A,CONCATENATE("=",ABS(H7)),abaqus!B:B)</f>
        <v>-7.0685835749999999</v>
      </c>
      <c r="K7">
        <f t="shared" si="0"/>
        <v>7.0685835749999999</v>
      </c>
      <c r="L7">
        <f t="shared" si="1"/>
        <v>-7.0685835749999999</v>
      </c>
      <c r="M7">
        <f t="shared" si="2"/>
        <v>0</v>
      </c>
      <c r="N7">
        <f t="shared" si="3"/>
        <v>4.9853989949622157</v>
      </c>
      <c r="O7">
        <v>91.405541561713989</v>
      </c>
      <c r="P7">
        <v>0</v>
      </c>
      <c r="Q7">
        <v>0</v>
      </c>
      <c r="R7">
        <f t="shared" si="4"/>
        <v>-129.6</v>
      </c>
      <c r="S7">
        <f t="shared" si="5"/>
        <v>-129.6</v>
      </c>
    </row>
    <row r="8" spans="1:19" x14ac:dyDescent="0.55000000000000004">
      <c r="A8">
        <v>0</v>
      </c>
      <c r="B8">
        <v>0</v>
      </c>
      <c r="C8">
        <v>0</v>
      </c>
      <c r="D8" t="s">
        <v>0</v>
      </c>
      <c r="E8" t="s">
        <v>4</v>
      </c>
      <c r="F8">
        <v>0.32</v>
      </c>
      <c r="G8">
        <v>-50</v>
      </c>
      <c r="H8">
        <v>50</v>
      </c>
      <c r="I8">
        <f>SIGN(G8)*SUMIF(abaqus!A:A,CONCATENATE("=",ABS(G8)),abaqus!B:B)</f>
        <v>-7.0685835749999999</v>
      </c>
      <c r="J8">
        <f>SIGN(H8)*SUMIF(abaqus!A:A,CONCATENATE("=",ABS(H8)),abaqus!B:B)</f>
        <v>7.0685835749999999</v>
      </c>
      <c r="K8">
        <f t="shared" si="0"/>
        <v>-7.0685835749999999</v>
      </c>
      <c r="L8">
        <f t="shared" si="1"/>
        <v>7.0685835749999999</v>
      </c>
      <c r="M8">
        <f t="shared" si="2"/>
        <v>0</v>
      </c>
      <c r="N8">
        <f t="shared" si="3"/>
        <v>-4.9853989949622157</v>
      </c>
      <c r="O8">
        <v>-91.405541561713989</v>
      </c>
      <c r="P8">
        <v>0</v>
      </c>
      <c r="Q8">
        <v>0</v>
      </c>
      <c r="R8">
        <f t="shared" si="4"/>
        <v>129.6</v>
      </c>
      <c r="S8">
        <f t="shared" si="5"/>
        <v>129.6</v>
      </c>
    </row>
    <row r="9" spans="1:19" x14ac:dyDescent="0.55000000000000004">
      <c r="A9">
        <v>0</v>
      </c>
      <c r="B9">
        <v>0</v>
      </c>
      <c r="C9">
        <v>0</v>
      </c>
      <c r="D9" t="s">
        <v>0</v>
      </c>
      <c r="E9" t="s">
        <v>4</v>
      </c>
      <c r="F9">
        <v>0.64</v>
      </c>
      <c r="G9">
        <v>50</v>
      </c>
      <c r="H9">
        <v>-50</v>
      </c>
      <c r="I9">
        <f>SIGN(G9)*SUMIF(abaqus!A:A,CONCATENATE("=",ABS(G9)),abaqus!B:B)</f>
        <v>7.0685835749999999</v>
      </c>
      <c r="J9">
        <f>SIGN(H9)*SUMIF(abaqus!A:A,CONCATENATE("=",ABS(H9)),abaqus!B:B)</f>
        <v>-7.0685835749999999</v>
      </c>
      <c r="K9">
        <f t="shared" si="0"/>
        <v>7.0685835749999999</v>
      </c>
      <c r="L9">
        <f t="shared" si="1"/>
        <v>-7.0685835749999999</v>
      </c>
      <c r="M9">
        <f t="shared" si="2"/>
        <v>0</v>
      </c>
      <c r="N9">
        <f t="shared" si="3"/>
        <v>4.9853989949622157</v>
      </c>
      <c r="O9">
        <v>182.81108312342889</v>
      </c>
      <c r="P9">
        <v>0</v>
      </c>
      <c r="Q9">
        <v>0</v>
      </c>
      <c r="R9">
        <f t="shared" si="4"/>
        <v>-259.2</v>
      </c>
      <c r="S9">
        <f t="shared" si="5"/>
        <v>-259.2</v>
      </c>
    </row>
    <row r="10" spans="1:19" x14ac:dyDescent="0.55000000000000004">
      <c r="A10">
        <v>0</v>
      </c>
      <c r="B10">
        <v>0</v>
      </c>
      <c r="C10">
        <v>0</v>
      </c>
      <c r="D10" t="s">
        <v>0</v>
      </c>
      <c r="E10" t="s">
        <v>4</v>
      </c>
      <c r="F10">
        <v>1.6</v>
      </c>
      <c r="G10">
        <v>-50</v>
      </c>
      <c r="H10">
        <v>50</v>
      </c>
      <c r="I10">
        <f>SIGN(G10)*SUMIF(abaqus!A:A,CONCATENATE("=",ABS(G10)),abaqus!B:B)</f>
        <v>-7.0685835749999999</v>
      </c>
      <c r="J10">
        <f>SIGN(H10)*SUMIF(abaqus!A:A,CONCATENATE("=",ABS(H10)),abaqus!B:B)</f>
        <v>7.0685835749999999</v>
      </c>
      <c r="K10">
        <f t="shared" si="0"/>
        <v>-7.0685835749999999</v>
      </c>
      <c r="L10">
        <f t="shared" si="1"/>
        <v>7.0685835749999999</v>
      </c>
      <c r="M10">
        <f t="shared" si="2"/>
        <v>0</v>
      </c>
      <c r="N10">
        <f t="shared" si="3"/>
        <v>-4.9853989949622157</v>
      </c>
      <c r="O10">
        <v>-457.027707808625</v>
      </c>
      <c r="P10">
        <v>0</v>
      </c>
      <c r="Q10">
        <v>0</v>
      </c>
      <c r="R10">
        <f t="shared" si="4"/>
        <v>648</v>
      </c>
      <c r="S10">
        <f t="shared" si="5"/>
        <v>648</v>
      </c>
    </row>
    <row r="11" spans="1:19" x14ac:dyDescent="0.55000000000000004">
      <c r="A11">
        <v>0</v>
      </c>
      <c r="B11">
        <v>0</v>
      </c>
      <c r="C11">
        <f>3.1415927/2</f>
        <v>1.57079635</v>
      </c>
      <c r="D11" t="s">
        <v>0</v>
      </c>
      <c r="E11" t="s">
        <v>4</v>
      </c>
      <c r="F11">
        <v>0.64</v>
      </c>
      <c r="G11">
        <v>20</v>
      </c>
      <c r="H11">
        <v>20</v>
      </c>
      <c r="I11">
        <f>SIGN(G11)*SUMIF(abaqus!A:A,CONCATENATE("=",ABS(G11)),abaqus!B:B)</f>
        <v>2.8274334300000001</v>
      </c>
      <c r="J11">
        <f>SIGN(H11)*SUMIF(abaqus!A:A,CONCATENATE("=",ABS(H11)),abaqus!B:B)</f>
        <v>2.8274334300000001</v>
      </c>
      <c r="K11">
        <f t="shared" si="0"/>
        <v>2.8274334300000001</v>
      </c>
      <c r="L11">
        <f t="shared" si="1"/>
        <v>2.8274334300000001</v>
      </c>
      <c r="M11">
        <f>(K11+L11)*0.5*5.6/2</f>
        <v>7.9168136039999997</v>
      </c>
      <c r="N11">
        <f>(K11-L11)/3.97/2*5.6/2</f>
        <v>0</v>
      </c>
      <c r="O11">
        <v>90</v>
      </c>
      <c r="P11">
        <v>-1.1757470576003068E-7</v>
      </c>
      <c r="Q11">
        <v>5.0667607065601103</v>
      </c>
      <c r="R11">
        <f t="shared" si="4"/>
        <v>-103.68</v>
      </c>
      <c r="S11">
        <f t="shared" ref="S11:S13" si="6">L11*$F11/3.1415927*180</f>
        <v>103.68</v>
      </c>
    </row>
    <row r="12" spans="1:19" x14ac:dyDescent="0.55000000000000004">
      <c r="A12">
        <v>0</v>
      </c>
      <c r="B12">
        <v>0</v>
      </c>
      <c r="C12">
        <f>-3.1415927/2</f>
        <v>-1.57079635</v>
      </c>
      <c r="D12" t="s">
        <v>0</v>
      </c>
      <c r="E12" t="s">
        <v>4</v>
      </c>
      <c r="F12">
        <v>0.64</v>
      </c>
      <c r="G12">
        <v>20</v>
      </c>
      <c r="H12">
        <v>20</v>
      </c>
      <c r="I12">
        <f>SIGN(G12)*SUMIF(abaqus!A:A,CONCATENATE("=",ABS(G12)),abaqus!B:B)</f>
        <v>2.8274334300000001</v>
      </c>
      <c r="J12">
        <f>SIGN(H12)*SUMIF(abaqus!A:A,CONCATENATE("=",ABS(H12)),abaqus!B:B)</f>
        <v>2.8274334300000001</v>
      </c>
      <c r="K12">
        <f t="shared" si="0"/>
        <v>2.8274334300000001</v>
      </c>
      <c r="L12">
        <f t="shared" si="1"/>
        <v>2.8274334300000001</v>
      </c>
      <c r="M12">
        <f>(K12+L12)*0.5*5.6/2</f>
        <v>7.9168136039999997</v>
      </c>
      <c r="N12">
        <f>(K12-L12)/3.97/2*5.6/2</f>
        <v>0</v>
      </c>
      <c r="O12">
        <v>-90</v>
      </c>
      <c r="P12">
        <v>-1.1757470576003068E-7</v>
      </c>
      <c r="Q12">
        <v>-5.0667607065601103</v>
      </c>
      <c r="R12">
        <f t="shared" si="4"/>
        <v>-103.68</v>
      </c>
      <c r="S12">
        <f t="shared" si="6"/>
        <v>103.68</v>
      </c>
    </row>
    <row r="13" spans="1:19" x14ac:dyDescent="0.55000000000000004">
      <c r="A13">
        <v>0</v>
      </c>
      <c r="B13">
        <v>0</v>
      </c>
      <c r="C13">
        <f>3.1415927</f>
        <v>3.1415926999999999</v>
      </c>
      <c r="D13" t="s">
        <v>0</v>
      </c>
      <c r="E13" t="s">
        <v>4</v>
      </c>
      <c r="F13">
        <v>0.64</v>
      </c>
      <c r="G13">
        <v>20</v>
      </c>
      <c r="H13">
        <v>20</v>
      </c>
      <c r="I13">
        <f>SIGN(G13)*SUMIF(abaqus!A:A,CONCATENATE("=",ABS(G13)),abaqus!B:B)</f>
        <v>2.8274334300000001</v>
      </c>
      <c r="J13">
        <f>SIGN(H13)*SUMIF(abaqus!A:A,CONCATENATE("=",ABS(H13)),abaqus!B:B)</f>
        <v>2.8274334300000001</v>
      </c>
      <c r="K13">
        <f t="shared" si="0"/>
        <v>2.8274334300000001</v>
      </c>
      <c r="L13">
        <f t="shared" si="1"/>
        <v>2.8274334300000001</v>
      </c>
      <c r="M13">
        <f>(K13+L13)*0.5*5.6/2</f>
        <v>7.9168136039999997</v>
      </c>
      <c r="N13">
        <f>(K13-L13)/3.97/2*5.6/2</f>
        <v>0</v>
      </c>
      <c r="O13">
        <v>180</v>
      </c>
      <c r="P13">
        <v>-5.0667607065601103</v>
      </c>
      <c r="Q13">
        <v>-2.3514941152006136E-7</v>
      </c>
      <c r="R13">
        <f t="shared" si="4"/>
        <v>-103.68</v>
      </c>
      <c r="S13">
        <f t="shared" si="6"/>
        <v>103.68</v>
      </c>
    </row>
    <row r="14" spans="1:19" x14ac:dyDescent="0.55000000000000004">
      <c r="A14">
        <v>0</v>
      </c>
      <c r="B14">
        <v>0</v>
      </c>
      <c r="C14">
        <f>3.1415927/2</f>
        <v>1.57079635</v>
      </c>
      <c r="D14" t="s">
        <v>0</v>
      </c>
      <c r="E14" t="s">
        <v>4</v>
      </c>
      <c r="F14">
        <v>0.32</v>
      </c>
      <c r="G14">
        <v>-50</v>
      </c>
      <c r="H14">
        <v>50</v>
      </c>
      <c r="I14">
        <f>SIGN(G14)*SUMIF(abaqus!A:A,CONCATENATE("=",ABS(G14)),abaqus!B:B)</f>
        <v>-7.0685835749999999</v>
      </c>
      <c r="J14">
        <f>SIGN(H14)*SUMIF(abaqus!A:A,CONCATENATE("=",ABS(H14)),abaqus!B:B)</f>
        <v>7.0685835749999999</v>
      </c>
      <c r="K14">
        <f t="shared" si="0"/>
        <v>-7.0685835749999999</v>
      </c>
      <c r="L14">
        <f t="shared" si="1"/>
        <v>7.0685835749999999</v>
      </c>
      <c r="M14">
        <f t="shared" ref="M14:M16" si="7">(K14+L14)*0.5*5.6/2</f>
        <v>0</v>
      </c>
      <c r="N14">
        <f t="shared" ref="N14:N16" si="8">(K14-L14)/3.97/2*5.6/2</f>
        <v>-4.9853989949622157</v>
      </c>
      <c r="O14">
        <v>-1.4055415617139311</v>
      </c>
      <c r="P14">
        <v>0</v>
      </c>
      <c r="Q14">
        <v>0</v>
      </c>
      <c r="R14">
        <f t="shared" si="4"/>
        <v>129.6</v>
      </c>
      <c r="S14">
        <f t="shared" ref="S14:S16" si="9">L14*$F14/3.1415927*180</f>
        <v>129.6</v>
      </c>
    </row>
    <row r="15" spans="1:19" x14ac:dyDescent="0.55000000000000004">
      <c r="A15">
        <v>0</v>
      </c>
      <c r="B15">
        <v>0</v>
      </c>
      <c r="C15">
        <f>-3.1415927/2</f>
        <v>-1.57079635</v>
      </c>
      <c r="D15" t="s">
        <v>0</v>
      </c>
      <c r="E15" t="s">
        <v>4</v>
      </c>
      <c r="F15">
        <v>0.32</v>
      </c>
      <c r="G15">
        <v>-50</v>
      </c>
      <c r="H15">
        <v>50</v>
      </c>
      <c r="I15">
        <f>SIGN(G15)*SUMIF(abaqus!A:A,CONCATENATE("=",ABS(G15)),abaqus!B:B)</f>
        <v>-7.0685835749999999</v>
      </c>
      <c r="J15">
        <f>SIGN(H15)*SUMIF(abaqus!A:A,CONCATENATE("=",ABS(H15)),abaqus!B:B)</f>
        <v>7.0685835749999999</v>
      </c>
      <c r="K15">
        <f t="shared" si="0"/>
        <v>-7.0685835749999999</v>
      </c>
      <c r="L15">
        <f t="shared" si="1"/>
        <v>7.0685835749999999</v>
      </c>
      <c r="M15">
        <f t="shared" si="7"/>
        <v>0</v>
      </c>
      <c r="N15">
        <f t="shared" si="8"/>
        <v>-4.9853989949622157</v>
      </c>
      <c r="O15">
        <v>-181.40554156171058</v>
      </c>
      <c r="P15">
        <v>0</v>
      </c>
      <c r="Q15">
        <v>0</v>
      </c>
      <c r="R15">
        <f t="shared" si="4"/>
        <v>129.6</v>
      </c>
      <c r="S15">
        <f t="shared" si="9"/>
        <v>129.6</v>
      </c>
    </row>
    <row r="16" spans="1:19" x14ac:dyDescent="0.55000000000000004">
      <c r="A16">
        <v>0</v>
      </c>
      <c r="B16">
        <v>0</v>
      </c>
      <c r="C16">
        <f>3.1415927</f>
        <v>3.1415926999999999</v>
      </c>
      <c r="D16" t="s">
        <v>0</v>
      </c>
      <c r="E16" t="s">
        <v>4</v>
      </c>
      <c r="F16">
        <v>0.32</v>
      </c>
      <c r="G16">
        <v>-50</v>
      </c>
      <c r="H16">
        <v>50</v>
      </c>
      <c r="I16">
        <f>SIGN(G16)*SUMIF(abaqus!A:A,CONCATENATE("=",ABS(G16)),abaqus!B:B)</f>
        <v>-7.0685835749999999</v>
      </c>
      <c r="J16">
        <f>SIGN(H16)*SUMIF(abaqus!A:A,CONCATENATE("=",ABS(H16)),abaqus!B:B)</f>
        <v>7.0685835749999999</v>
      </c>
      <c r="K16">
        <f t="shared" si="0"/>
        <v>-7.0685835749999999</v>
      </c>
      <c r="L16">
        <f t="shared" si="1"/>
        <v>7.0685835749999999</v>
      </c>
      <c r="M16">
        <f t="shared" si="7"/>
        <v>0</v>
      </c>
      <c r="N16">
        <f t="shared" si="8"/>
        <v>-4.9853989949622157</v>
      </c>
      <c r="O16">
        <v>88.594458438289308</v>
      </c>
      <c r="P16">
        <v>0</v>
      </c>
      <c r="Q16">
        <v>0</v>
      </c>
      <c r="R16">
        <f t="shared" si="4"/>
        <v>129.6</v>
      </c>
      <c r="S16">
        <f t="shared" si="9"/>
        <v>129.6</v>
      </c>
    </row>
    <row r="17" spans="1:19" x14ac:dyDescent="0.55000000000000004">
      <c r="A17">
        <v>-20</v>
      </c>
      <c r="B17">
        <v>35</v>
      </c>
      <c r="C17">
        <v>0</v>
      </c>
      <c r="D17" t="s">
        <v>0</v>
      </c>
      <c r="E17" t="s">
        <v>4</v>
      </c>
      <c r="F17">
        <v>0.64</v>
      </c>
      <c r="G17">
        <v>20</v>
      </c>
      <c r="H17">
        <v>20</v>
      </c>
      <c r="I17">
        <f>SIGN(G17)*SUMIF(abaqus!A:A,CONCATENATE("=",ABS(G17)),abaqus!B:B)</f>
        <v>2.8274334300000001</v>
      </c>
      <c r="J17">
        <f>SIGN(H17)*SUMIF(abaqus!A:A,CONCATENATE("=",ABS(H17)),abaqus!B:B)</f>
        <v>2.8274334300000001</v>
      </c>
      <c r="K17">
        <f t="shared" si="0"/>
        <v>2.8274334300000001</v>
      </c>
      <c r="L17">
        <f t="shared" si="1"/>
        <v>2.8274334300000001</v>
      </c>
      <c r="M17">
        <f>(K17+L17)*0.5*5.6/2</f>
        <v>7.9168136039999997</v>
      </c>
      <c r="N17">
        <f>(K17-L17)/3.97/2*5.6/2</f>
        <v>0</v>
      </c>
      <c r="O17">
        <v>0</v>
      </c>
      <c r="P17">
        <v>-14.933239293440549</v>
      </c>
      <c r="Q17">
        <v>35</v>
      </c>
      <c r="R17">
        <f t="shared" si="4"/>
        <v>-103.68</v>
      </c>
      <c r="S17">
        <f t="shared" ref="S17:S21" si="10">L17*$F17/3.1415927*180</f>
        <v>103.68</v>
      </c>
    </row>
    <row r="18" spans="1:19" x14ac:dyDescent="0.55000000000000004">
      <c r="A18">
        <v>-20</v>
      </c>
      <c r="B18">
        <v>35</v>
      </c>
      <c r="C18">
        <f>3.1415927/2</f>
        <v>1.57079635</v>
      </c>
      <c r="D18" t="s">
        <v>0</v>
      </c>
      <c r="E18" t="s">
        <v>4</v>
      </c>
      <c r="F18">
        <v>0.64</v>
      </c>
      <c r="G18">
        <v>20</v>
      </c>
      <c r="H18">
        <v>20</v>
      </c>
      <c r="I18">
        <f>SIGN(G18)*SUMIF(abaqus!A:A,CONCATENATE("=",ABS(G18)),abaqus!B:B)</f>
        <v>2.8274334300000001</v>
      </c>
      <c r="J18">
        <f>SIGN(H18)*SUMIF(abaqus!A:A,CONCATENATE("=",ABS(H18)),abaqus!B:B)</f>
        <v>2.8274334300000001</v>
      </c>
      <c r="K18">
        <f t="shared" si="0"/>
        <v>2.8274334300000001</v>
      </c>
      <c r="L18">
        <f t="shared" si="1"/>
        <v>2.8274334300000001</v>
      </c>
      <c r="M18">
        <f>(K18+L18)*0.5*5.6/2</f>
        <v>7.9168136039999997</v>
      </c>
      <c r="N18">
        <f>(K18-L18)/3.97/2*5.6/2</f>
        <v>0</v>
      </c>
      <c r="O18">
        <v>90</v>
      </c>
      <c r="P18">
        <v>-20.000000117574928</v>
      </c>
      <c r="Q18">
        <v>40.066760706558973</v>
      </c>
      <c r="R18">
        <f t="shared" si="4"/>
        <v>-103.68</v>
      </c>
      <c r="S18">
        <f t="shared" si="10"/>
        <v>103.68</v>
      </c>
    </row>
    <row r="19" spans="1:19" x14ac:dyDescent="0.55000000000000004">
      <c r="A19">
        <v>-20</v>
      </c>
      <c r="B19">
        <v>35</v>
      </c>
      <c r="C19">
        <f>-3.1415927/2</f>
        <v>-1.57079635</v>
      </c>
      <c r="D19" t="s">
        <v>0</v>
      </c>
      <c r="E19" t="s">
        <v>4</v>
      </c>
      <c r="F19">
        <v>0.64</v>
      </c>
      <c r="G19">
        <v>20</v>
      </c>
      <c r="H19">
        <v>20</v>
      </c>
      <c r="I19">
        <f>SIGN(G19)*SUMIF(abaqus!A:A,CONCATENATE("=",ABS(G19)),abaqus!B:B)</f>
        <v>2.8274334300000001</v>
      </c>
      <c r="J19">
        <f>SIGN(H19)*SUMIF(abaqus!A:A,CONCATENATE("=",ABS(H19)),abaqus!B:B)</f>
        <v>2.8274334300000001</v>
      </c>
      <c r="K19">
        <f t="shared" si="0"/>
        <v>2.8274334300000001</v>
      </c>
      <c r="L19">
        <f t="shared" si="1"/>
        <v>2.8274334300000001</v>
      </c>
      <c r="M19">
        <f>(K19+L19)*0.5*5.6/2</f>
        <v>7.9168136039999997</v>
      </c>
      <c r="N19">
        <f>(K19-L19)/3.97/2*5.6/2</f>
        <v>0</v>
      </c>
      <c r="O19">
        <v>-90</v>
      </c>
      <c r="P19">
        <v>-20.000000117574928</v>
      </c>
      <c r="Q19">
        <v>29.933239293441027</v>
      </c>
      <c r="R19">
        <f t="shared" si="4"/>
        <v>-103.68</v>
      </c>
      <c r="S19">
        <f t="shared" si="10"/>
        <v>103.68</v>
      </c>
    </row>
    <row r="20" spans="1:19" x14ac:dyDescent="0.55000000000000004">
      <c r="A20">
        <v>-20</v>
      </c>
      <c r="B20">
        <v>35</v>
      </c>
      <c r="C20">
        <f>3.1415927</f>
        <v>3.1415926999999999</v>
      </c>
      <c r="D20" t="s">
        <v>0</v>
      </c>
      <c r="E20" t="s">
        <v>4</v>
      </c>
      <c r="F20">
        <v>0.64</v>
      </c>
      <c r="G20">
        <v>20</v>
      </c>
      <c r="H20">
        <v>20</v>
      </c>
      <c r="I20">
        <f>SIGN(G20)*SUMIF(abaqus!A:A,CONCATENATE("=",ABS(G20)),abaqus!B:B)</f>
        <v>2.8274334300000001</v>
      </c>
      <c r="J20">
        <f>SIGN(H20)*SUMIF(abaqus!A:A,CONCATENATE("=",ABS(H20)),abaqus!B:B)</f>
        <v>2.8274334300000001</v>
      </c>
      <c r="K20">
        <f t="shared" si="0"/>
        <v>2.8274334300000001</v>
      </c>
      <c r="L20">
        <f t="shared" si="1"/>
        <v>2.8274334300000001</v>
      </c>
      <c r="M20">
        <f>(K20+L20)*0.5*5.6/2</f>
        <v>7.9168136039999997</v>
      </c>
      <c r="N20">
        <f>(K20-L20)/3.97/2*5.6/2</f>
        <v>0</v>
      </c>
      <c r="O20">
        <v>180</v>
      </c>
      <c r="P20">
        <v>-25.066760706558973</v>
      </c>
      <c r="Q20">
        <v>34.999999764850145</v>
      </c>
      <c r="R20">
        <f t="shared" si="4"/>
        <v>-103.68</v>
      </c>
      <c r="S20">
        <f t="shared" si="10"/>
        <v>103.68</v>
      </c>
    </row>
    <row r="21" spans="1:19" x14ac:dyDescent="0.55000000000000004">
      <c r="A21">
        <v>-20</v>
      </c>
      <c r="B21">
        <v>35</v>
      </c>
      <c r="C21">
        <v>0</v>
      </c>
      <c r="D21" t="s">
        <v>0</v>
      </c>
      <c r="E21" t="s">
        <v>4</v>
      </c>
      <c r="F21">
        <v>0.64</v>
      </c>
      <c r="G21">
        <v>50</v>
      </c>
      <c r="H21">
        <v>50</v>
      </c>
      <c r="I21">
        <f>SIGN(G21)*SUMIF(abaqus!A:A,CONCATENATE("=",ABS(G21)),abaqus!B:B)</f>
        <v>7.0685835749999999</v>
      </c>
      <c r="J21">
        <f>SIGN(H21)*SUMIF(abaqus!A:A,CONCATENATE("=",ABS(H21)),abaqus!B:B)</f>
        <v>7.0685835749999999</v>
      </c>
      <c r="K21">
        <f t="shared" si="0"/>
        <v>7.0685835749999999</v>
      </c>
      <c r="L21">
        <f t="shared" si="1"/>
        <v>7.0685835749999999</v>
      </c>
      <c r="M21">
        <f>(K21+L21)*0.5*5.6/2</f>
        <v>19.792034009999998</v>
      </c>
      <c r="N21">
        <f>(K21-L21)/3.97/2*5.6/2</f>
        <v>0</v>
      </c>
      <c r="O21">
        <v>0</v>
      </c>
      <c r="P21">
        <v>-7.3330982335995181</v>
      </c>
      <c r="Q21">
        <v>35</v>
      </c>
      <c r="R21">
        <f t="shared" si="4"/>
        <v>-259.2</v>
      </c>
      <c r="S21">
        <f t="shared" si="10"/>
        <v>259.2</v>
      </c>
    </row>
    <row r="22" spans="1:19" x14ac:dyDescent="0.55000000000000004">
      <c r="A22">
        <v>-20</v>
      </c>
      <c r="B22">
        <v>35</v>
      </c>
      <c r="C22">
        <f>3.1415927/2</f>
        <v>1.57079635</v>
      </c>
      <c r="D22" t="s">
        <v>0</v>
      </c>
      <c r="E22" t="s">
        <v>4</v>
      </c>
      <c r="F22">
        <v>0.32</v>
      </c>
      <c r="G22">
        <v>50</v>
      </c>
      <c r="H22">
        <v>-50</v>
      </c>
      <c r="I22">
        <f>SIGN(G22)*SUMIF(abaqus!A:A,CONCATENATE("=",ABS(G22)),abaqus!B:B)</f>
        <v>7.0685835749999999</v>
      </c>
      <c r="J22">
        <f>SIGN(H22)*SUMIF(abaqus!A:A,CONCATENATE("=",ABS(H22)),abaqus!B:B)</f>
        <v>-7.0685835749999999</v>
      </c>
      <c r="K22">
        <f t="shared" si="0"/>
        <v>7.0685835749999999</v>
      </c>
      <c r="L22">
        <f t="shared" si="1"/>
        <v>-7.0685835749999999</v>
      </c>
      <c r="M22">
        <f t="shared" ref="M22:M28" si="11">(K22+L22)*0.5*5.6/2</f>
        <v>0</v>
      </c>
      <c r="N22">
        <f t="shared" ref="N22:N28" si="12">(K22-L22)/3.97/2*5.6/2</f>
        <v>4.9853989949622157</v>
      </c>
      <c r="O22">
        <v>181.40554156171058</v>
      </c>
      <c r="P22">
        <v>-20</v>
      </c>
      <c r="Q22">
        <v>35</v>
      </c>
      <c r="R22">
        <f t="shared" si="4"/>
        <v>-129.6</v>
      </c>
      <c r="S22">
        <f t="shared" ref="S22:S28" si="13">L22*$F22/3.1415927*180</f>
        <v>-129.6</v>
      </c>
    </row>
    <row r="23" spans="1:19" x14ac:dyDescent="0.55000000000000004">
      <c r="A23">
        <v>-20</v>
      </c>
      <c r="B23">
        <v>35</v>
      </c>
      <c r="C23">
        <f>-3.1415927/2</f>
        <v>-1.57079635</v>
      </c>
      <c r="D23" t="s">
        <v>0</v>
      </c>
      <c r="E23" t="s">
        <v>4</v>
      </c>
      <c r="F23">
        <v>0.32</v>
      </c>
      <c r="G23">
        <v>50</v>
      </c>
      <c r="H23">
        <v>-50</v>
      </c>
      <c r="I23">
        <f>SIGN(G23)*SUMIF(abaqus!A:A,CONCATENATE("=",ABS(G23)),abaqus!B:B)</f>
        <v>7.0685835749999999</v>
      </c>
      <c r="J23">
        <f>SIGN(H23)*SUMIF(abaqus!A:A,CONCATENATE("=",ABS(H23)),abaqus!B:B)</f>
        <v>-7.0685835749999999</v>
      </c>
      <c r="K23">
        <f t="shared" si="0"/>
        <v>7.0685835749999999</v>
      </c>
      <c r="L23">
        <f t="shared" si="1"/>
        <v>-7.0685835749999999</v>
      </c>
      <c r="M23">
        <f t="shared" si="11"/>
        <v>0</v>
      </c>
      <c r="N23">
        <f t="shared" si="12"/>
        <v>4.9853989949622157</v>
      </c>
      <c r="O23">
        <v>1.4055415617139311</v>
      </c>
      <c r="P23">
        <v>-20</v>
      </c>
      <c r="Q23">
        <v>35</v>
      </c>
      <c r="R23">
        <f t="shared" si="4"/>
        <v>-129.6</v>
      </c>
      <c r="S23">
        <f t="shared" si="13"/>
        <v>-129.6</v>
      </c>
    </row>
    <row r="24" spans="1:19" x14ac:dyDescent="0.55000000000000004">
      <c r="A24">
        <v>-20</v>
      </c>
      <c r="B24">
        <v>35</v>
      </c>
      <c r="C24">
        <f>3.1415927</f>
        <v>3.1415926999999999</v>
      </c>
      <c r="D24" t="s">
        <v>0</v>
      </c>
      <c r="E24" t="s">
        <v>4</v>
      </c>
      <c r="F24">
        <v>0.32</v>
      </c>
      <c r="G24">
        <v>50</v>
      </c>
      <c r="H24">
        <v>-50</v>
      </c>
      <c r="I24">
        <f>SIGN(G24)*SUMIF(abaqus!A:A,CONCATENATE("=",ABS(G24)),abaqus!B:B)</f>
        <v>7.0685835749999999</v>
      </c>
      <c r="J24">
        <f>SIGN(H24)*SUMIF(abaqus!A:A,CONCATENATE("=",ABS(H24)),abaqus!B:B)</f>
        <v>-7.0685835749999999</v>
      </c>
      <c r="K24">
        <f t="shared" si="0"/>
        <v>7.0685835749999999</v>
      </c>
      <c r="L24">
        <f t="shared" si="1"/>
        <v>-7.0685835749999999</v>
      </c>
      <c r="M24">
        <f t="shared" si="11"/>
        <v>0</v>
      </c>
      <c r="N24">
        <f t="shared" si="12"/>
        <v>4.9853989949622157</v>
      </c>
      <c r="O24">
        <v>271.40554156171584</v>
      </c>
      <c r="P24">
        <v>-20</v>
      </c>
      <c r="Q24">
        <v>35</v>
      </c>
      <c r="R24">
        <f t="shared" si="4"/>
        <v>-129.6</v>
      </c>
      <c r="S24">
        <f t="shared" si="13"/>
        <v>-129.6</v>
      </c>
    </row>
    <row r="25" spans="1:19" x14ac:dyDescent="0.55000000000000004">
      <c r="A25">
        <v>-20</v>
      </c>
      <c r="B25">
        <v>35</v>
      </c>
      <c r="C25">
        <f>3.1415927/2</f>
        <v>1.57079635</v>
      </c>
      <c r="D25" t="s">
        <v>0</v>
      </c>
      <c r="E25" t="s">
        <v>4</v>
      </c>
      <c r="F25">
        <v>0.32</v>
      </c>
      <c r="G25">
        <v>50</v>
      </c>
      <c r="H25">
        <v>0</v>
      </c>
      <c r="I25">
        <f>SIGN(G25)*SUMIF(abaqus!A:A,CONCATENATE("=",ABS(G25)),abaqus!B:B)</f>
        <v>7.0685835749999999</v>
      </c>
      <c r="J25">
        <f>SIGN(H25)*SUMIF(abaqus!A:A,CONCATENATE("=",ABS(H25)),abaqus!B:B)</f>
        <v>0</v>
      </c>
      <c r="K25">
        <f t="shared" si="0"/>
        <v>7.0685835749999999</v>
      </c>
      <c r="L25">
        <f t="shared" si="1"/>
        <v>0</v>
      </c>
      <c r="M25">
        <f t="shared" si="11"/>
        <v>9.8960170049999991</v>
      </c>
      <c r="N25">
        <f t="shared" si="12"/>
        <v>2.4926994974811079</v>
      </c>
      <c r="O25">
        <v>135.70277078085792</v>
      </c>
      <c r="P25">
        <v>-21.197426744642524</v>
      </c>
      <c r="Q25">
        <v>37.841436629296339</v>
      </c>
      <c r="R25">
        <f t="shared" si="4"/>
        <v>-129.6</v>
      </c>
      <c r="S25">
        <f t="shared" si="13"/>
        <v>0</v>
      </c>
    </row>
    <row r="26" spans="1:19" x14ac:dyDescent="0.55000000000000004">
      <c r="A26">
        <v>-20</v>
      </c>
      <c r="B26">
        <v>35</v>
      </c>
      <c r="C26">
        <f>3.1415927/2</f>
        <v>1.57079635</v>
      </c>
      <c r="D26" t="s">
        <v>0</v>
      </c>
      <c r="E26" t="s">
        <v>4</v>
      </c>
      <c r="F26">
        <v>0.32</v>
      </c>
      <c r="G26">
        <v>50</v>
      </c>
      <c r="H26">
        <v>0</v>
      </c>
      <c r="I26">
        <f>SIGN(G26)*SUMIF(abaqus!A:A,CONCATENATE("=",ABS(G26)),abaqus!B:B)</f>
        <v>7.0685835749999999</v>
      </c>
      <c r="J26">
        <f>SIGN(H26)*SUMIF(abaqus!A:A,CONCATENATE("=",ABS(H26)),abaqus!B:B)</f>
        <v>0</v>
      </c>
      <c r="K26">
        <f t="shared" si="0"/>
        <v>7.0685835749999999</v>
      </c>
      <c r="L26">
        <f t="shared" si="1"/>
        <v>0</v>
      </c>
      <c r="M26">
        <f t="shared" si="11"/>
        <v>9.8960170049999991</v>
      </c>
      <c r="N26">
        <f t="shared" si="12"/>
        <v>2.4926994974811079</v>
      </c>
      <c r="O26">
        <v>135.70277078085792</v>
      </c>
      <c r="P26">
        <v>-21.197426744642524</v>
      </c>
      <c r="Q26">
        <v>37.841436629296339</v>
      </c>
      <c r="R26">
        <f t="shared" si="4"/>
        <v>-129.6</v>
      </c>
      <c r="S26">
        <f t="shared" si="13"/>
        <v>0</v>
      </c>
    </row>
    <row r="27" spans="1:19" x14ac:dyDescent="0.55000000000000004">
      <c r="A27">
        <v>-20</v>
      </c>
      <c r="B27">
        <v>35</v>
      </c>
      <c r="C27">
        <f>-3.1415927/2</f>
        <v>-1.57079635</v>
      </c>
      <c r="D27" t="s">
        <v>0</v>
      </c>
      <c r="E27" t="s">
        <v>4</v>
      </c>
      <c r="F27">
        <v>0.32</v>
      </c>
      <c r="G27">
        <v>50</v>
      </c>
      <c r="H27">
        <v>0</v>
      </c>
      <c r="I27">
        <f>SIGN(G27)*SUMIF(abaqus!A:A,CONCATENATE("=",ABS(G27)),abaqus!B:B)</f>
        <v>7.0685835749999999</v>
      </c>
      <c r="J27">
        <f>SIGN(H27)*SUMIF(abaqus!A:A,CONCATENATE("=",ABS(H27)),abaqus!B:B)</f>
        <v>0</v>
      </c>
      <c r="K27">
        <f t="shared" si="0"/>
        <v>7.0685835749999999</v>
      </c>
      <c r="L27">
        <f t="shared" si="1"/>
        <v>0</v>
      </c>
      <c r="M27">
        <f t="shared" si="11"/>
        <v>9.8960170049999991</v>
      </c>
      <c r="N27">
        <f t="shared" si="12"/>
        <v>2.4926994974811079</v>
      </c>
      <c r="O27">
        <v>-44.297229219144654</v>
      </c>
      <c r="P27">
        <v>-18.802573387229177</v>
      </c>
      <c r="Q27">
        <v>32.15856331513092</v>
      </c>
      <c r="R27">
        <f t="shared" si="4"/>
        <v>-129.6</v>
      </c>
      <c r="S27">
        <f t="shared" si="13"/>
        <v>0</v>
      </c>
    </row>
    <row r="28" spans="1:19" x14ac:dyDescent="0.55000000000000004">
      <c r="A28">
        <v>-20</v>
      </c>
      <c r="B28">
        <v>35</v>
      </c>
      <c r="C28">
        <f>3.1415927</f>
        <v>3.1415926999999999</v>
      </c>
      <c r="D28" t="s">
        <v>0</v>
      </c>
      <c r="E28" t="s">
        <v>4</v>
      </c>
      <c r="F28">
        <v>0.32</v>
      </c>
      <c r="G28">
        <v>50</v>
      </c>
      <c r="H28">
        <v>0</v>
      </c>
      <c r="I28">
        <f>SIGN(G28)*SUMIF(abaqus!A:A,CONCATENATE("=",ABS(G28)),abaqus!B:B)</f>
        <v>7.0685835749999999</v>
      </c>
      <c r="J28">
        <f>SIGN(H28)*SUMIF(abaqus!A:A,CONCATENATE("=",ABS(H28)),abaqus!B:B)</f>
        <v>0</v>
      </c>
      <c r="K28">
        <f t="shared" si="0"/>
        <v>7.0685835749999999</v>
      </c>
      <c r="L28">
        <f t="shared" si="1"/>
        <v>0</v>
      </c>
      <c r="M28">
        <f t="shared" si="11"/>
        <v>9.8960170049999991</v>
      </c>
      <c r="N28">
        <f t="shared" si="12"/>
        <v>2.4926994974811079</v>
      </c>
      <c r="O28">
        <v>225.70277078086229</v>
      </c>
      <c r="P28">
        <v>-22.841436601509805</v>
      </c>
      <c r="Q28">
        <v>33.802573189421459</v>
      </c>
      <c r="R28">
        <f t="shared" si="4"/>
        <v>-129.6</v>
      </c>
      <c r="S28">
        <f t="shared" si="13"/>
        <v>0</v>
      </c>
    </row>
    <row r="29" spans="1:19" x14ac:dyDescent="0.55000000000000004">
      <c r="A29">
        <v>0</v>
      </c>
      <c r="B29">
        <v>0</v>
      </c>
      <c r="C29">
        <v>0</v>
      </c>
      <c r="D29" t="s">
        <v>4</v>
      </c>
      <c r="E29" t="s">
        <v>0</v>
      </c>
      <c r="F29">
        <v>0.64</v>
      </c>
      <c r="G29">
        <v>20</v>
      </c>
      <c r="H29">
        <v>20</v>
      </c>
      <c r="I29">
        <f>SIGN(G29)*SUMIF(abaqus!A:A,CONCATENATE("=",ABS(G29)),abaqus!B:B)</f>
        <v>2.8274334300000001</v>
      </c>
      <c r="J29">
        <f>SIGN(H29)*SUMIF(abaqus!A:A,CONCATENATE("=",ABS(H29)),abaqus!B:B)</f>
        <v>2.8274334300000001</v>
      </c>
      <c r="K29">
        <f t="shared" si="0"/>
        <v>-2.8274334300000001</v>
      </c>
      <c r="L29">
        <f t="shared" si="1"/>
        <v>-2.8274334300000001</v>
      </c>
      <c r="M29">
        <f>(K29+L29)*0.5*5.6/2</f>
        <v>-7.9168136039999997</v>
      </c>
      <c r="N29">
        <f>(K29-L29)/3.97/2*5.6/2</f>
        <v>0</v>
      </c>
      <c r="O29">
        <v>0</v>
      </c>
      <c r="P29">
        <v>-5.0667607065601103</v>
      </c>
      <c r="Q29">
        <v>0</v>
      </c>
      <c r="R29">
        <f>-K29*$F29/3.1415927*180</f>
        <v>103.68</v>
      </c>
      <c r="S29">
        <f>L29*$F29/3.1415927*180</f>
        <v>-103.68</v>
      </c>
    </row>
    <row r="30" spans="1:19" x14ac:dyDescent="0.55000000000000004">
      <c r="A30">
        <v>0</v>
      </c>
      <c r="B30">
        <v>0</v>
      </c>
      <c r="C30">
        <v>0</v>
      </c>
      <c r="D30" t="s">
        <v>4</v>
      </c>
      <c r="E30" t="s">
        <v>0</v>
      </c>
      <c r="F30">
        <v>0.64</v>
      </c>
      <c r="G30">
        <v>-20</v>
      </c>
      <c r="H30">
        <v>-20</v>
      </c>
      <c r="I30">
        <f>SIGN(G30)*SUMIF(abaqus!A:A,CONCATENATE("=",ABS(G30)),abaqus!B:B)</f>
        <v>-2.8274334300000001</v>
      </c>
      <c r="J30">
        <f>SIGN(H30)*SUMIF(abaqus!A:A,CONCATENATE("=",ABS(H30)),abaqus!B:B)</f>
        <v>-2.8274334300000001</v>
      </c>
      <c r="K30">
        <f t="shared" si="0"/>
        <v>2.8274334300000001</v>
      </c>
      <c r="L30">
        <f t="shared" si="1"/>
        <v>2.8274334300000001</v>
      </c>
      <c r="M30">
        <f t="shared" ref="M30:M37" si="14">(K30+L30)*0.5*5.6/2</f>
        <v>7.9168136039999997</v>
      </c>
      <c r="N30">
        <f t="shared" ref="N30:N37" si="15">(K30-L30)/3.97/2*5.6/2</f>
        <v>0</v>
      </c>
      <c r="O30">
        <v>0</v>
      </c>
      <c r="P30">
        <v>5.0667607065601103</v>
      </c>
      <c r="Q30">
        <v>0</v>
      </c>
      <c r="R30">
        <f t="shared" ref="R30:R55" si="16">-K30*$F30/3.1415927*180</f>
        <v>-103.68</v>
      </c>
      <c r="S30">
        <f t="shared" ref="S30:S55" si="17">L30*$F30/3.1415927*180</f>
        <v>103.68</v>
      </c>
    </row>
    <row r="31" spans="1:19" x14ac:dyDescent="0.55000000000000004">
      <c r="A31">
        <v>0</v>
      </c>
      <c r="B31">
        <v>0</v>
      </c>
      <c r="C31">
        <v>0</v>
      </c>
      <c r="D31" t="s">
        <v>4</v>
      </c>
      <c r="E31" t="s">
        <v>0</v>
      </c>
      <c r="F31">
        <v>0.64</v>
      </c>
      <c r="G31">
        <v>40</v>
      </c>
      <c r="H31">
        <v>40</v>
      </c>
      <c r="I31">
        <f>SIGN(G31)*SUMIF(abaqus!A:A,CONCATENATE("=",ABS(G31)),abaqus!B:B)</f>
        <v>5.6548668600000003</v>
      </c>
      <c r="J31">
        <f>SIGN(H31)*SUMIF(abaqus!A:A,CONCATENATE("=",ABS(H31)),abaqus!B:B)</f>
        <v>5.6548668600000003</v>
      </c>
      <c r="K31">
        <f t="shared" si="0"/>
        <v>-5.6548668600000003</v>
      </c>
      <c r="L31">
        <f t="shared" si="1"/>
        <v>-5.6548668600000003</v>
      </c>
      <c r="M31">
        <f t="shared" si="14"/>
        <v>-15.833627207999999</v>
      </c>
      <c r="N31">
        <f t="shared" si="15"/>
        <v>0</v>
      </c>
      <c r="O31">
        <v>0</v>
      </c>
      <c r="P31">
        <v>-10.133521413120221</v>
      </c>
      <c r="Q31">
        <v>0</v>
      </c>
      <c r="R31">
        <f t="shared" si="16"/>
        <v>207.36</v>
      </c>
      <c r="S31">
        <f t="shared" si="17"/>
        <v>-207.36</v>
      </c>
    </row>
    <row r="32" spans="1:19" x14ac:dyDescent="0.55000000000000004">
      <c r="A32">
        <v>0</v>
      </c>
      <c r="B32">
        <v>0</v>
      </c>
      <c r="C32">
        <v>0</v>
      </c>
      <c r="D32" t="s">
        <v>4</v>
      </c>
      <c r="E32" t="s">
        <v>0</v>
      </c>
      <c r="F32">
        <v>0.64</v>
      </c>
      <c r="G32">
        <v>-40</v>
      </c>
      <c r="H32">
        <v>-40</v>
      </c>
      <c r="I32">
        <f>SIGN(G32)*SUMIF(abaqus!A:A,CONCATENATE("=",ABS(G32)),abaqus!B:B)</f>
        <v>-5.6548668600000003</v>
      </c>
      <c r="J32">
        <f>SIGN(H32)*SUMIF(abaqus!A:A,CONCATENATE("=",ABS(H32)),abaqus!B:B)</f>
        <v>-5.6548668600000003</v>
      </c>
      <c r="K32">
        <f t="shared" si="0"/>
        <v>5.6548668600000003</v>
      </c>
      <c r="L32">
        <f t="shared" si="1"/>
        <v>5.6548668600000003</v>
      </c>
      <c r="M32">
        <f t="shared" si="14"/>
        <v>15.833627207999999</v>
      </c>
      <c r="N32">
        <f t="shared" si="15"/>
        <v>0</v>
      </c>
      <c r="O32">
        <v>0</v>
      </c>
      <c r="P32">
        <v>10.133521413120221</v>
      </c>
      <c r="Q32">
        <v>0</v>
      </c>
      <c r="R32">
        <f t="shared" si="16"/>
        <v>-207.36</v>
      </c>
      <c r="S32">
        <f t="shared" si="17"/>
        <v>207.36</v>
      </c>
    </row>
    <row r="33" spans="1:19" x14ac:dyDescent="0.55000000000000004">
      <c r="A33">
        <v>0</v>
      </c>
      <c r="B33">
        <v>0</v>
      </c>
      <c r="C33">
        <v>0</v>
      </c>
      <c r="D33" t="s">
        <v>4</v>
      </c>
      <c r="E33" t="s">
        <v>0</v>
      </c>
      <c r="F33">
        <v>1.28</v>
      </c>
      <c r="G33">
        <v>-20</v>
      </c>
      <c r="H33">
        <v>-20</v>
      </c>
      <c r="I33">
        <f>SIGN(G33)*SUMIF(abaqus!A:A,CONCATENATE("=",ABS(G33)),abaqus!B:B)</f>
        <v>-2.8274334300000001</v>
      </c>
      <c r="J33">
        <f>SIGN(H33)*SUMIF(abaqus!A:A,CONCATENATE("=",ABS(H33)),abaqus!B:B)</f>
        <v>-2.8274334300000001</v>
      </c>
      <c r="K33">
        <f t="shared" si="0"/>
        <v>2.8274334300000001</v>
      </c>
      <c r="L33">
        <f t="shared" si="1"/>
        <v>2.8274334300000001</v>
      </c>
      <c r="M33">
        <f t="shared" si="14"/>
        <v>7.9168136039999997</v>
      </c>
      <c r="N33">
        <f t="shared" si="15"/>
        <v>0</v>
      </c>
      <c r="O33">
        <v>0</v>
      </c>
      <c r="P33">
        <v>10.133521413121136</v>
      </c>
      <c r="Q33">
        <v>0</v>
      </c>
      <c r="R33">
        <f t="shared" si="16"/>
        <v>-207.36</v>
      </c>
      <c r="S33">
        <f t="shared" si="17"/>
        <v>207.36</v>
      </c>
    </row>
    <row r="34" spans="1:19" x14ac:dyDescent="0.55000000000000004">
      <c r="A34">
        <v>0</v>
      </c>
      <c r="B34">
        <v>0</v>
      </c>
      <c r="C34">
        <v>0</v>
      </c>
      <c r="D34" t="s">
        <v>4</v>
      </c>
      <c r="E34" t="s">
        <v>0</v>
      </c>
      <c r="F34">
        <v>0.32</v>
      </c>
      <c r="G34">
        <v>50</v>
      </c>
      <c r="H34">
        <v>-50</v>
      </c>
      <c r="I34">
        <f>SIGN(G34)*SUMIF(abaqus!A:A,CONCATENATE("=",ABS(G34)),abaqus!B:B)</f>
        <v>7.0685835749999999</v>
      </c>
      <c r="J34">
        <f>SIGN(H34)*SUMIF(abaqus!A:A,CONCATENATE("=",ABS(H34)),abaqus!B:B)</f>
        <v>-7.0685835749999999</v>
      </c>
      <c r="K34">
        <f t="shared" si="0"/>
        <v>7.0685835749999999</v>
      </c>
      <c r="L34">
        <f t="shared" si="1"/>
        <v>-7.0685835749999999</v>
      </c>
      <c r="M34">
        <f t="shared" si="14"/>
        <v>0</v>
      </c>
      <c r="N34">
        <f t="shared" si="15"/>
        <v>4.9853989949622157</v>
      </c>
      <c r="O34">
        <v>91.405541561713989</v>
      </c>
      <c r="P34">
        <v>0</v>
      </c>
      <c r="Q34">
        <v>0</v>
      </c>
      <c r="R34">
        <f t="shared" si="16"/>
        <v>-129.6</v>
      </c>
      <c r="S34">
        <f t="shared" si="17"/>
        <v>-129.6</v>
      </c>
    </row>
    <row r="35" spans="1:19" x14ac:dyDescent="0.55000000000000004">
      <c r="A35">
        <v>0</v>
      </c>
      <c r="B35">
        <v>0</v>
      </c>
      <c r="C35">
        <v>0</v>
      </c>
      <c r="D35" t="s">
        <v>4</v>
      </c>
      <c r="E35" t="s">
        <v>0</v>
      </c>
      <c r="F35">
        <v>0.32</v>
      </c>
      <c r="G35">
        <v>-50</v>
      </c>
      <c r="H35">
        <v>50</v>
      </c>
      <c r="I35">
        <f>SIGN(G35)*SUMIF(abaqus!A:A,CONCATENATE("=",ABS(G35)),abaqus!B:B)</f>
        <v>-7.0685835749999999</v>
      </c>
      <c r="J35">
        <f>SIGN(H35)*SUMIF(abaqus!A:A,CONCATENATE("=",ABS(H35)),abaqus!B:B)</f>
        <v>7.0685835749999999</v>
      </c>
      <c r="K35">
        <f t="shared" si="0"/>
        <v>-7.0685835749999999</v>
      </c>
      <c r="L35">
        <f t="shared" si="1"/>
        <v>7.0685835749999999</v>
      </c>
      <c r="M35">
        <f t="shared" si="14"/>
        <v>0</v>
      </c>
      <c r="N35">
        <f t="shared" si="15"/>
        <v>-4.9853989949622157</v>
      </c>
      <c r="O35">
        <v>-91.405541561713989</v>
      </c>
      <c r="P35">
        <v>0</v>
      </c>
      <c r="Q35">
        <v>0</v>
      </c>
      <c r="R35">
        <f t="shared" si="16"/>
        <v>129.6</v>
      </c>
      <c r="S35">
        <f t="shared" si="17"/>
        <v>129.6</v>
      </c>
    </row>
    <row r="36" spans="1:19" x14ac:dyDescent="0.55000000000000004">
      <c r="A36">
        <v>0</v>
      </c>
      <c r="B36">
        <v>0</v>
      </c>
      <c r="C36">
        <v>0</v>
      </c>
      <c r="D36" t="s">
        <v>4</v>
      </c>
      <c r="E36" t="s">
        <v>0</v>
      </c>
      <c r="F36">
        <v>0.64</v>
      </c>
      <c r="G36">
        <v>50</v>
      </c>
      <c r="H36">
        <v>-50</v>
      </c>
      <c r="I36">
        <f>SIGN(G36)*SUMIF(abaqus!A:A,CONCATENATE("=",ABS(G36)),abaqus!B:B)</f>
        <v>7.0685835749999999</v>
      </c>
      <c r="J36">
        <f>SIGN(H36)*SUMIF(abaqus!A:A,CONCATENATE("=",ABS(H36)),abaqus!B:B)</f>
        <v>-7.0685835749999999</v>
      </c>
      <c r="K36">
        <f t="shared" si="0"/>
        <v>7.0685835749999999</v>
      </c>
      <c r="L36">
        <f t="shared" si="1"/>
        <v>-7.0685835749999999</v>
      </c>
      <c r="M36">
        <f t="shared" si="14"/>
        <v>0</v>
      </c>
      <c r="N36">
        <f t="shared" si="15"/>
        <v>4.9853989949622157</v>
      </c>
      <c r="O36">
        <v>182.81108312342889</v>
      </c>
      <c r="P36">
        <v>0</v>
      </c>
      <c r="Q36">
        <v>0</v>
      </c>
      <c r="R36">
        <f t="shared" si="16"/>
        <v>-259.2</v>
      </c>
      <c r="S36">
        <f t="shared" si="17"/>
        <v>-259.2</v>
      </c>
    </row>
    <row r="37" spans="1:19" x14ac:dyDescent="0.55000000000000004">
      <c r="A37">
        <v>0</v>
      </c>
      <c r="B37">
        <v>0</v>
      </c>
      <c r="C37">
        <v>0</v>
      </c>
      <c r="D37" t="s">
        <v>4</v>
      </c>
      <c r="E37" t="s">
        <v>0</v>
      </c>
      <c r="F37">
        <v>1.6</v>
      </c>
      <c r="G37">
        <v>-50</v>
      </c>
      <c r="H37">
        <v>50</v>
      </c>
      <c r="I37">
        <f>SIGN(G37)*SUMIF(abaqus!A:A,CONCATENATE("=",ABS(G37)),abaqus!B:B)</f>
        <v>-7.0685835749999999</v>
      </c>
      <c r="J37">
        <f>SIGN(H37)*SUMIF(abaqus!A:A,CONCATENATE("=",ABS(H37)),abaqus!B:B)</f>
        <v>7.0685835749999999</v>
      </c>
      <c r="K37">
        <f t="shared" si="0"/>
        <v>-7.0685835749999999</v>
      </c>
      <c r="L37">
        <f t="shared" si="1"/>
        <v>7.0685835749999999</v>
      </c>
      <c r="M37">
        <f t="shared" si="14"/>
        <v>0</v>
      </c>
      <c r="N37">
        <f t="shared" si="15"/>
        <v>-4.9853989949622157</v>
      </c>
      <c r="O37">
        <v>-457.027707808625</v>
      </c>
      <c r="P37">
        <v>0</v>
      </c>
      <c r="Q37">
        <v>0</v>
      </c>
      <c r="R37">
        <f t="shared" si="16"/>
        <v>648</v>
      </c>
      <c r="S37">
        <f t="shared" si="17"/>
        <v>648</v>
      </c>
    </row>
    <row r="38" spans="1:19" x14ac:dyDescent="0.55000000000000004">
      <c r="A38">
        <v>0</v>
      </c>
      <c r="B38">
        <v>0</v>
      </c>
      <c r="C38">
        <f>3.1415927/2</f>
        <v>1.57079635</v>
      </c>
      <c r="D38" t="s">
        <v>4</v>
      </c>
      <c r="E38" t="s">
        <v>0</v>
      </c>
      <c r="F38">
        <v>0.64</v>
      </c>
      <c r="G38">
        <v>20</v>
      </c>
      <c r="H38">
        <v>20</v>
      </c>
      <c r="I38">
        <f>SIGN(G38)*SUMIF(abaqus!A:A,CONCATENATE("=",ABS(G38)),abaqus!B:B)</f>
        <v>2.8274334300000001</v>
      </c>
      <c r="J38">
        <f>SIGN(H38)*SUMIF(abaqus!A:A,CONCATENATE("=",ABS(H38)),abaqus!B:B)</f>
        <v>2.8274334300000001</v>
      </c>
      <c r="K38">
        <f t="shared" si="0"/>
        <v>-2.8274334300000001</v>
      </c>
      <c r="L38">
        <f t="shared" si="1"/>
        <v>-2.8274334300000001</v>
      </c>
      <c r="M38">
        <f>(K38+L38)*0.5*5.6/2</f>
        <v>-7.9168136039999997</v>
      </c>
      <c r="N38">
        <f>(K38-L38)/3.97/2*5.6/2</f>
        <v>0</v>
      </c>
      <c r="O38">
        <v>90</v>
      </c>
      <c r="P38">
        <v>1.1757470576003068E-7</v>
      </c>
      <c r="Q38">
        <v>-5.0667607065601103</v>
      </c>
      <c r="R38">
        <f t="shared" si="16"/>
        <v>103.68</v>
      </c>
      <c r="S38">
        <f t="shared" si="17"/>
        <v>-103.68</v>
      </c>
    </row>
    <row r="39" spans="1:19" x14ac:dyDescent="0.55000000000000004">
      <c r="A39">
        <v>0</v>
      </c>
      <c r="B39">
        <v>0</v>
      </c>
      <c r="C39">
        <f>-3.1415927/2</f>
        <v>-1.57079635</v>
      </c>
      <c r="D39" t="s">
        <v>4</v>
      </c>
      <c r="E39" t="s">
        <v>0</v>
      </c>
      <c r="F39">
        <v>0.64</v>
      </c>
      <c r="G39">
        <v>20</v>
      </c>
      <c r="H39">
        <v>20</v>
      </c>
      <c r="I39">
        <f>SIGN(G39)*SUMIF(abaqus!A:A,CONCATENATE("=",ABS(G39)),abaqus!B:B)</f>
        <v>2.8274334300000001</v>
      </c>
      <c r="J39">
        <f>SIGN(H39)*SUMIF(abaqus!A:A,CONCATENATE("=",ABS(H39)),abaqus!B:B)</f>
        <v>2.8274334300000001</v>
      </c>
      <c r="K39">
        <f t="shared" si="0"/>
        <v>-2.8274334300000001</v>
      </c>
      <c r="L39">
        <f t="shared" si="1"/>
        <v>-2.8274334300000001</v>
      </c>
      <c r="M39">
        <f>(K39+L39)*0.5*5.6/2</f>
        <v>-7.9168136039999997</v>
      </c>
      <c r="N39">
        <f>(K39-L39)/3.97/2*5.6/2</f>
        <v>0</v>
      </c>
      <c r="O39">
        <v>-90</v>
      </c>
      <c r="P39">
        <v>1.1757470576003068E-7</v>
      </c>
      <c r="Q39">
        <v>5.0667607065601103</v>
      </c>
      <c r="R39">
        <f t="shared" si="16"/>
        <v>103.68</v>
      </c>
      <c r="S39">
        <f t="shared" si="17"/>
        <v>-103.68</v>
      </c>
    </row>
    <row r="40" spans="1:19" x14ac:dyDescent="0.55000000000000004">
      <c r="A40">
        <v>0</v>
      </c>
      <c r="B40">
        <v>0</v>
      </c>
      <c r="C40">
        <f>3.1415927</f>
        <v>3.1415926999999999</v>
      </c>
      <c r="D40" t="s">
        <v>4</v>
      </c>
      <c r="E40" t="s">
        <v>0</v>
      </c>
      <c r="F40">
        <v>0.64</v>
      </c>
      <c r="G40">
        <v>20</v>
      </c>
      <c r="H40">
        <v>20</v>
      </c>
      <c r="I40">
        <f>SIGN(G40)*SUMIF(abaqus!A:A,CONCATENATE("=",ABS(G40)),abaqus!B:B)</f>
        <v>2.8274334300000001</v>
      </c>
      <c r="J40">
        <f>SIGN(H40)*SUMIF(abaqus!A:A,CONCATENATE("=",ABS(H40)),abaqus!B:B)</f>
        <v>2.8274334300000001</v>
      </c>
      <c r="K40">
        <f t="shared" si="0"/>
        <v>-2.8274334300000001</v>
      </c>
      <c r="L40">
        <f t="shared" si="1"/>
        <v>-2.8274334300000001</v>
      </c>
      <c r="M40">
        <f>(K40+L40)*0.5*5.6/2</f>
        <v>-7.9168136039999997</v>
      </c>
      <c r="N40">
        <f>(K40-L40)/3.97/2*5.6/2</f>
        <v>0</v>
      </c>
      <c r="O40">
        <v>180</v>
      </c>
      <c r="P40">
        <v>5.0667607065601103</v>
      </c>
      <c r="Q40">
        <v>2.3514941152006136E-7</v>
      </c>
      <c r="R40">
        <f t="shared" si="16"/>
        <v>103.68</v>
      </c>
      <c r="S40">
        <f t="shared" si="17"/>
        <v>-103.68</v>
      </c>
    </row>
    <row r="41" spans="1:19" x14ac:dyDescent="0.55000000000000004">
      <c r="A41">
        <v>0</v>
      </c>
      <c r="B41">
        <v>0</v>
      </c>
      <c r="C41">
        <f>3.1415927/2</f>
        <v>1.57079635</v>
      </c>
      <c r="D41" t="s">
        <v>4</v>
      </c>
      <c r="E41" t="s">
        <v>0</v>
      </c>
      <c r="F41">
        <v>0.32</v>
      </c>
      <c r="G41">
        <v>-50</v>
      </c>
      <c r="H41">
        <v>50</v>
      </c>
      <c r="I41">
        <f>SIGN(G41)*SUMIF(abaqus!A:A,CONCATENATE("=",ABS(G41)),abaqus!B:B)</f>
        <v>-7.0685835749999999</v>
      </c>
      <c r="J41">
        <f>SIGN(H41)*SUMIF(abaqus!A:A,CONCATENATE("=",ABS(H41)),abaqus!B:B)</f>
        <v>7.0685835749999999</v>
      </c>
      <c r="K41">
        <f t="shared" si="0"/>
        <v>-7.0685835749999999</v>
      </c>
      <c r="L41">
        <f t="shared" si="1"/>
        <v>7.0685835749999999</v>
      </c>
      <c r="M41">
        <f t="shared" ref="M41:M43" si="18">(K41+L41)*0.5*5.6/2</f>
        <v>0</v>
      </c>
      <c r="N41">
        <f t="shared" ref="N41:N43" si="19">(K41-L41)/3.97/2*5.6/2</f>
        <v>-4.9853989949622157</v>
      </c>
      <c r="O41">
        <v>-1.4055415617139311</v>
      </c>
      <c r="P41">
        <v>0</v>
      </c>
      <c r="Q41">
        <v>0</v>
      </c>
      <c r="R41">
        <f t="shared" si="16"/>
        <v>129.6</v>
      </c>
      <c r="S41">
        <f t="shared" si="17"/>
        <v>129.6</v>
      </c>
    </row>
    <row r="42" spans="1:19" x14ac:dyDescent="0.55000000000000004">
      <c r="A42">
        <v>0</v>
      </c>
      <c r="B42">
        <v>0</v>
      </c>
      <c r="C42">
        <f>-3.1415927/2</f>
        <v>-1.57079635</v>
      </c>
      <c r="D42" t="s">
        <v>4</v>
      </c>
      <c r="E42" t="s">
        <v>0</v>
      </c>
      <c r="F42">
        <v>0.32</v>
      </c>
      <c r="G42">
        <v>-50</v>
      </c>
      <c r="H42">
        <v>50</v>
      </c>
      <c r="I42">
        <f>SIGN(G42)*SUMIF(abaqus!A:A,CONCATENATE("=",ABS(G42)),abaqus!B:B)</f>
        <v>-7.0685835749999999</v>
      </c>
      <c r="J42">
        <f>SIGN(H42)*SUMIF(abaqus!A:A,CONCATENATE("=",ABS(H42)),abaqus!B:B)</f>
        <v>7.0685835749999999</v>
      </c>
      <c r="K42">
        <f t="shared" si="0"/>
        <v>-7.0685835749999999</v>
      </c>
      <c r="L42">
        <f t="shared" si="1"/>
        <v>7.0685835749999999</v>
      </c>
      <c r="M42">
        <f t="shared" si="18"/>
        <v>0</v>
      </c>
      <c r="N42">
        <f t="shared" si="19"/>
        <v>-4.9853989949622157</v>
      </c>
      <c r="O42">
        <v>-181.40554156171058</v>
      </c>
      <c r="P42">
        <v>0</v>
      </c>
      <c r="Q42">
        <v>0</v>
      </c>
      <c r="R42">
        <f t="shared" si="16"/>
        <v>129.6</v>
      </c>
      <c r="S42">
        <f t="shared" si="17"/>
        <v>129.6</v>
      </c>
    </row>
    <row r="43" spans="1:19" x14ac:dyDescent="0.55000000000000004">
      <c r="A43">
        <v>0</v>
      </c>
      <c r="B43">
        <v>0</v>
      </c>
      <c r="C43">
        <f>3.1415927</f>
        <v>3.1415926999999999</v>
      </c>
      <c r="D43" t="s">
        <v>4</v>
      </c>
      <c r="E43" t="s">
        <v>0</v>
      </c>
      <c r="F43">
        <v>0.32</v>
      </c>
      <c r="G43">
        <v>-50</v>
      </c>
      <c r="H43">
        <v>50</v>
      </c>
      <c r="I43">
        <f>SIGN(G43)*SUMIF(abaqus!A:A,CONCATENATE("=",ABS(G43)),abaqus!B:B)</f>
        <v>-7.0685835749999999</v>
      </c>
      <c r="J43">
        <f>SIGN(H43)*SUMIF(abaqus!A:A,CONCATENATE("=",ABS(H43)),abaqus!B:B)</f>
        <v>7.0685835749999999</v>
      </c>
      <c r="K43">
        <f t="shared" si="0"/>
        <v>-7.0685835749999999</v>
      </c>
      <c r="L43">
        <f t="shared" si="1"/>
        <v>7.0685835749999999</v>
      </c>
      <c r="M43">
        <f t="shared" si="18"/>
        <v>0</v>
      </c>
      <c r="N43">
        <f t="shared" si="19"/>
        <v>-4.9853989949622157</v>
      </c>
      <c r="O43">
        <v>88.594458438289308</v>
      </c>
      <c r="P43">
        <v>0</v>
      </c>
      <c r="Q43">
        <v>0</v>
      </c>
      <c r="R43">
        <f t="shared" si="16"/>
        <v>129.6</v>
      </c>
      <c r="S43">
        <f t="shared" si="17"/>
        <v>129.6</v>
      </c>
    </row>
    <row r="44" spans="1:19" x14ac:dyDescent="0.55000000000000004">
      <c r="A44">
        <v>-20</v>
      </c>
      <c r="B44">
        <v>35</v>
      </c>
      <c r="C44">
        <v>0</v>
      </c>
      <c r="D44" t="s">
        <v>4</v>
      </c>
      <c r="E44" t="s">
        <v>0</v>
      </c>
      <c r="F44">
        <v>0.64</v>
      </c>
      <c r="G44">
        <v>20</v>
      </c>
      <c r="H44">
        <v>20</v>
      </c>
      <c r="I44">
        <f>SIGN(G44)*SUMIF(abaqus!A:A,CONCATENATE("=",ABS(G44)),abaqus!B:B)</f>
        <v>2.8274334300000001</v>
      </c>
      <c r="J44">
        <f>SIGN(H44)*SUMIF(abaqus!A:A,CONCATENATE("=",ABS(H44)),abaqus!B:B)</f>
        <v>2.8274334300000001</v>
      </c>
      <c r="K44">
        <f t="shared" si="0"/>
        <v>-2.8274334300000001</v>
      </c>
      <c r="L44">
        <f t="shared" si="1"/>
        <v>-2.8274334300000001</v>
      </c>
      <c r="M44">
        <f>(K44+L44)*0.5*5.6/2</f>
        <v>-7.9168136039999997</v>
      </c>
      <c r="N44">
        <f>(K44-L44)/3.97/2*5.6/2</f>
        <v>0</v>
      </c>
      <c r="O44">
        <v>0</v>
      </c>
      <c r="P44">
        <v>-25.066760706558973</v>
      </c>
      <c r="Q44">
        <v>35</v>
      </c>
      <c r="R44">
        <f t="shared" si="16"/>
        <v>103.68</v>
      </c>
      <c r="S44">
        <f t="shared" si="17"/>
        <v>-103.68</v>
      </c>
    </row>
    <row r="45" spans="1:19" x14ac:dyDescent="0.55000000000000004">
      <c r="A45">
        <v>-20</v>
      </c>
      <c r="B45">
        <v>35</v>
      </c>
      <c r="C45">
        <f>3.1415927/2</f>
        <v>1.57079635</v>
      </c>
      <c r="D45" t="s">
        <v>4</v>
      </c>
      <c r="E45" t="s">
        <v>0</v>
      </c>
      <c r="F45">
        <v>0.64</v>
      </c>
      <c r="G45">
        <v>20</v>
      </c>
      <c r="H45">
        <v>20</v>
      </c>
      <c r="I45">
        <f>SIGN(G45)*SUMIF(abaqus!A:A,CONCATENATE("=",ABS(G45)),abaqus!B:B)</f>
        <v>2.8274334300000001</v>
      </c>
      <c r="J45">
        <f>SIGN(H45)*SUMIF(abaqus!A:A,CONCATENATE("=",ABS(H45)),abaqus!B:B)</f>
        <v>2.8274334300000001</v>
      </c>
      <c r="K45">
        <f t="shared" si="0"/>
        <v>-2.8274334300000001</v>
      </c>
      <c r="L45">
        <f t="shared" si="1"/>
        <v>-2.8274334300000001</v>
      </c>
      <c r="M45">
        <f>(K45+L45)*0.5*5.6/2</f>
        <v>-7.9168136039999997</v>
      </c>
      <c r="N45">
        <f>(K45-L45)/3.97/2*5.6/2</f>
        <v>0</v>
      </c>
      <c r="O45">
        <v>90</v>
      </c>
      <c r="P45">
        <v>-19.999999882425072</v>
      </c>
      <c r="Q45">
        <v>29.933239293441027</v>
      </c>
      <c r="R45">
        <f t="shared" si="16"/>
        <v>103.68</v>
      </c>
      <c r="S45">
        <f t="shared" si="17"/>
        <v>-103.68</v>
      </c>
    </row>
    <row r="46" spans="1:19" x14ac:dyDescent="0.55000000000000004">
      <c r="A46">
        <v>-20</v>
      </c>
      <c r="B46">
        <v>35</v>
      </c>
      <c r="C46">
        <f>-3.1415927/2</f>
        <v>-1.57079635</v>
      </c>
      <c r="D46" t="s">
        <v>4</v>
      </c>
      <c r="E46" t="s">
        <v>0</v>
      </c>
      <c r="F46">
        <v>0.64</v>
      </c>
      <c r="G46">
        <v>20</v>
      </c>
      <c r="H46">
        <v>20</v>
      </c>
      <c r="I46">
        <f>SIGN(G46)*SUMIF(abaqus!A:A,CONCATENATE("=",ABS(G46)),abaqus!B:B)</f>
        <v>2.8274334300000001</v>
      </c>
      <c r="J46">
        <f>SIGN(H46)*SUMIF(abaqus!A:A,CONCATENATE("=",ABS(H46)),abaqus!B:B)</f>
        <v>2.8274334300000001</v>
      </c>
      <c r="K46">
        <f t="shared" si="0"/>
        <v>-2.8274334300000001</v>
      </c>
      <c r="L46">
        <f t="shared" si="1"/>
        <v>-2.8274334300000001</v>
      </c>
      <c r="M46">
        <f>(K46+L46)*0.5*5.6/2</f>
        <v>-7.9168136039999997</v>
      </c>
      <c r="N46">
        <f>(K46-L46)/3.97/2*5.6/2</f>
        <v>0</v>
      </c>
      <c r="O46">
        <v>-90</v>
      </c>
      <c r="P46">
        <v>-19.999999882425072</v>
      </c>
      <c r="Q46">
        <v>40.066760706558973</v>
      </c>
      <c r="R46">
        <f t="shared" si="16"/>
        <v>103.68</v>
      </c>
      <c r="S46">
        <f t="shared" si="17"/>
        <v>-103.68</v>
      </c>
    </row>
    <row r="47" spans="1:19" x14ac:dyDescent="0.55000000000000004">
      <c r="A47">
        <v>-20</v>
      </c>
      <c r="B47">
        <v>35</v>
      </c>
      <c r="C47">
        <f>3.1415927</f>
        <v>3.1415926999999999</v>
      </c>
      <c r="D47" t="s">
        <v>4</v>
      </c>
      <c r="E47" t="s">
        <v>0</v>
      </c>
      <c r="F47">
        <v>0.64</v>
      </c>
      <c r="G47">
        <v>20</v>
      </c>
      <c r="H47">
        <v>20</v>
      </c>
      <c r="I47">
        <f>SIGN(G47)*SUMIF(abaqus!A:A,CONCATENATE("=",ABS(G47)),abaqus!B:B)</f>
        <v>2.8274334300000001</v>
      </c>
      <c r="J47">
        <f>SIGN(H47)*SUMIF(abaqus!A:A,CONCATENATE("=",ABS(H47)),abaqus!B:B)</f>
        <v>2.8274334300000001</v>
      </c>
      <c r="K47">
        <f t="shared" si="0"/>
        <v>-2.8274334300000001</v>
      </c>
      <c r="L47">
        <f t="shared" si="1"/>
        <v>-2.8274334300000001</v>
      </c>
      <c r="M47">
        <f>(K47+L47)*0.5*5.6/2</f>
        <v>-7.9168136039999997</v>
      </c>
      <c r="N47">
        <f>(K47-L47)/3.97/2*5.6/2</f>
        <v>0</v>
      </c>
      <c r="O47">
        <v>180</v>
      </c>
      <c r="P47">
        <v>-14.933239293440549</v>
      </c>
      <c r="Q47">
        <v>35.000000235149855</v>
      </c>
      <c r="R47">
        <f t="shared" si="16"/>
        <v>103.68</v>
      </c>
      <c r="S47">
        <f t="shared" si="17"/>
        <v>-103.68</v>
      </c>
    </row>
    <row r="48" spans="1:19" x14ac:dyDescent="0.55000000000000004">
      <c r="A48">
        <v>-20</v>
      </c>
      <c r="B48">
        <v>35</v>
      </c>
      <c r="C48">
        <v>0</v>
      </c>
      <c r="D48" t="s">
        <v>4</v>
      </c>
      <c r="E48" t="s">
        <v>0</v>
      </c>
      <c r="F48">
        <v>0.64</v>
      </c>
      <c r="G48">
        <v>50</v>
      </c>
      <c r="H48">
        <v>50</v>
      </c>
      <c r="I48">
        <f>SIGN(G48)*SUMIF(abaqus!A:A,CONCATENATE("=",ABS(G48)),abaqus!B:B)</f>
        <v>7.0685835749999999</v>
      </c>
      <c r="J48">
        <f>SIGN(H48)*SUMIF(abaqus!A:A,CONCATENATE("=",ABS(H48)),abaqus!B:B)</f>
        <v>7.0685835749999999</v>
      </c>
      <c r="K48">
        <f t="shared" si="0"/>
        <v>-7.0685835749999999</v>
      </c>
      <c r="L48">
        <f t="shared" si="1"/>
        <v>-7.0685835749999999</v>
      </c>
      <c r="M48">
        <f>(K48+L48)*0.5*5.6/2</f>
        <v>-19.792034009999998</v>
      </c>
      <c r="N48">
        <f>(K48-L48)/3.97/2*5.6/2</f>
        <v>0</v>
      </c>
      <c r="O48">
        <v>0</v>
      </c>
      <c r="P48">
        <v>-32.666901766401736</v>
      </c>
      <c r="Q48">
        <v>35</v>
      </c>
      <c r="R48">
        <f t="shared" si="16"/>
        <v>259.2</v>
      </c>
      <c r="S48">
        <f t="shared" si="17"/>
        <v>-259.2</v>
      </c>
    </row>
    <row r="49" spans="1:19" x14ac:dyDescent="0.55000000000000004">
      <c r="A49">
        <v>-20</v>
      </c>
      <c r="B49">
        <v>35</v>
      </c>
      <c r="C49">
        <f>3.1415927/2</f>
        <v>1.57079635</v>
      </c>
      <c r="D49" t="s">
        <v>4</v>
      </c>
      <c r="E49" t="s">
        <v>0</v>
      </c>
      <c r="F49">
        <v>0.32</v>
      </c>
      <c r="G49">
        <v>50</v>
      </c>
      <c r="H49">
        <v>-50</v>
      </c>
      <c r="I49">
        <f>SIGN(G49)*SUMIF(abaqus!A:A,CONCATENATE("=",ABS(G49)),abaqus!B:B)</f>
        <v>7.0685835749999999</v>
      </c>
      <c r="J49">
        <f>SIGN(H49)*SUMIF(abaqus!A:A,CONCATENATE("=",ABS(H49)),abaqus!B:B)</f>
        <v>-7.0685835749999999</v>
      </c>
      <c r="K49">
        <f t="shared" si="0"/>
        <v>7.0685835749999999</v>
      </c>
      <c r="L49">
        <f t="shared" si="1"/>
        <v>-7.0685835749999999</v>
      </c>
      <c r="M49">
        <f t="shared" ref="M49:M55" si="20">(K49+L49)*0.5*5.6/2</f>
        <v>0</v>
      </c>
      <c r="N49">
        <f t="shared" ref="N49:N55" si="21">(K49-L49)/3.97/2*5.6/2</f>
        <v>4.9853989949622157</v>
      </c>
      <c r="O49">
        <v>181.40554156171058</v>
      </c>
      <c r="P49">
        <v>-20</v>
      </c>
      <c r="Q49">
        <v>35</v>
      </c>
      <c r="R49">
        <f t="shared" si="16"/>
        <v>-129.6</v>
      </c>
      <c r="S49">
        <f t="shared" si="17"/>
        <v>-129.6</v>
      </c>
    </row>
    <row r="50" spans="1:19" x14ac:dyDescent="0.55000000000000004">
      <c r="A50">
        <v>-20</v>
      </c>
      <c r="B50">
        <v>35</v>
      </c>
      <c r="C50">
        <f>-3.1415927/2</f>
        <v>-1.57079635</v>
      </c>
      <c r="D50" t="s">
        <v>4</v>
      </c>
      <c r="E50" t="s">
        <v>0</v>
      </c>
      <c r="F50">
        <v>0.32</v>
      </c>
      <c r="G50">
        <v>50</v>
      </c>
      <c r="H50">
        <v>-50</v>
      </c>
      <c r="I50">
        <f>SIGN(G50)*SUMIF(abaqus!A:A,CONCATENATE("=",ABS(G50)),abaqus!B:B)</f>
        <v>7.0685835749999999</v>
      </c>
      <c r="J50">
        <f>SIGN(H50)*SUMIF(abaqus!A:A,CONCATENATE("=",ABS(H50)),abaqus!B:B)</f>
        <v>-7.0685835749999999</v>
      </c>
      <c r="K50">
        <f t="shared" si="0"/>
        <v>7.0685835749999999</v>
      </c>
      <c r="L50">
        <f t="shared" si="1"/>
        <v>-7.0685835749999999</v>
      </c>
      <c r="M50">
        <f t="shared" si="20"/>
        <v>0</v>
      </c>
      <c r="N50">
        <f t="shared" si="21"/>
        <v>4.9853989949622157</v>
      </c>
      <c r="O50">
        <v>1.4055415617139311</v>
      </c>
      <c r="P50">
        <v>-20</v>
      </c>
      <c r="Q50">
        <v>35</v>
      </c>
      <c r="R50">
        <f t="shared" si="16"/>
        <v>-129.6</v>
      </c>
      <c r="S50">
        <f t="shared" si="17"/>
        <v>-129.6</v>
      </c>
    </row>
    <row r="51" spans="1:19" x14ac:dyDescent="0.55000000000000004">
      <c r="A51">
        <v>-20</v>
      </c>
      <c r="B51">
        <v>35</v>
      </c>
      <c r="C51">
        <f>3.1415927</f>
        <v>3.1415926999999999</v>
      </c>
      <c r="D51" t="s">
        <v>4</v>
      </c>
      <c r="E51" t="s">
        <v>0</v>
      </c>
      <c r="F51">
        <v>0.32</v>
      </c>
      <c r="G51">
        <v>50</v>
      </c>
      <c r="H51">
        <v>-50</v>
      </c>
      <c r="I51">
        <f>SIGN(G51)*SUMIF(abaqus!A:A,CONCATENATE("=",ABS(G51)),abaqus!B:B)</f>
        <v>7.0685835749999999</v>
      </c>
      <c r="J51">
        <f>SIGN(H51)*SUMIF(abaqus!A:A,CONCATENATE("=",ABS(H51)),abaqus!B:B)</f>
        <v>-7.0685835749999999</v>
      </c>
      <c r="K51">
        <f t="shared" si="0"/>
        <v>7.0685835749999999</v>
      </c>
      <c r="L51">
        <f t="shared" si="1"/>
        <v>-7.0685835749999999</v>
      </c>
      <c r="M51">
        <f t="shared" si="20"/>
        <v>0</v>
      </c>
      <c r="N51">
        <f t="shared" si="21"/>
        <v>4.9853989949622157</v>
      </c>
      <c r="O51">
        <v>271.40554156171584</v>
      </c>
      <c r="P51">
        <v>-20</v>
      </c>
      <c r="Q51">
        <v>35</v>
      </c>
      <c r="R51">
        <f t="shared" si="16"/>
        <v>-129.6</v>
      </c>
      <c r="S51">
        <f t="shared" si="17"/>
        <v>-129.6</v>
      </c>
    </row>
    <row r="52" spans="1:19" x14ac:dyDescent="0.55000000000000004">
      <c r="A52">
        <v>-20</v>
      </c>
      <c r="B52">
        <v>35</v>
      </c>
      <c r="C52">
        <f>3.1415927/2</f>
        <v>1.57079635</v>
      </c>
      <c r="D52" t="s">
        <v>4</v>
      </c>
      <c r="E52" t="s">
        <v>0</v>
      </c>
      <c r="F52">
        <v>0.32</v>
      </c>
      <c r="G52">
        <v>50</v>
      </c>
      <c r="H52">
        <v>0</v>
      </c>
      <c r="I52">
        <f>SIGN(G52)*SUMIF(abaqus!A:A,CONCATENATE("=",ABS(G52)),abaqus!B:B)</f>
        <v>7.0685835749999999</v>
      </c>
      <c r="J52">
        <f>SIGN(H52)*SUMIF(abaqus!A:A,CONCATENATE("=",ABS(H52)),abaqus!B:B)</f>
        <v>0</v>
      </c>
      <c r="K52">
        <f t="shared" si="0"/>
        <v>0</v>
      </c>
      <c r="L52">
        <f t="shared" si="1"/>
        <v>-7.0685835749999999</v>
      </c>
      <c r="M52">
        <f t="shared" si="20"/>
        <v>-9.8960170049999991</v>
      </c>
      <c r="N52">
        <f t="shared" si="21"/>
        <v>2.4926994974811079</v>
      </c>
      <c r="O52">
        <v>135.70277078085792</v>
      </c>
      <c r="P52">
        <v>-18.802573255357476</v>
      </c>
      <c r="Q52">
        <v>32.158563370703661</v>
      </c>
      <c r="R52">
        <f t="shared" si="16"/>
        <v>0</v>
      </c>
      <c r="S52">
        <f t="shared" si="17"/>
        <v>-129.6</v>
      </c>
    </row>
    <row r="53" spans="1:19" x14ac:dyDescent="0.55000000000000004">
      <c r="A53">
        <v>-20</v>
      </c>
      <c r="B53">
        <v>35</v>
      </c>
      <c r="C53">
        <f>3.1415927/2</f>
        <v>1.57079635</v>
      </c>
      <c r="D53" t="s">
        <v>4</v>
      </c>
      <c r="E53" t="s">
        <v>0</v>
      </c>
      <c r="F53">
        <v>0.32</v>
      </c>
      <c r="G53">
        <v>50</v>
      </c>
      <c r="H53">
        <v>0</v>
      </c>
      <c r="I53">
        <f>SIGN(G53)*SUMIF(abaqus!A:A,CONCATENATE("=",ABS(G53)),abaqus!B:B)</f>
        <v>7.0685835749999999</v>
      </c>
      <c r="J53">
        <f>SIGN(H53)*SUMIF(abaqus!A:A,CONCATENATE("=",ABS(H53)),abaqus!B:B)</f>
        <v>0</v>
      </c>
      <c r="K53">
        <f t="shared" si="0"/>
        <v>0</v>
      </c>
      <c r="L53">
        <f t="shared" si="1"/>
        <v>-7.0685835749999999</v>
      </c>
      <c r="M53">
        <f t="shared" si="20"/>
        <v>-9.8960170049999991</v>
      </c>
      <c r="N53">
        <f t="shared" si="21"/>
        <v>2.4926994974811079</v>
      </c>
      <c r="O53">
        <v>135.70277078085792</v>
      </c>
      <c r="P53">
        <v>-18.802573255357476</v>
      </c>
      <c r="Q53">
        <v>32.158563370703661</v>
      </c>
      <c r="R53">
        <f t="shared" si="16"/>
        <v>0</v>
      </c>
      <c r="S53">
        <f t="shared" si="17"/>
        <v>-129.6</v>
      </c>
    </row>
    <row r="54" spans="1:19" x14ac:dyDescent="0.55000000000000004">
      <c r="A54">
        <v>-20</v>
      </c>
      <c r="B54">
        <v>35</v>
      </c>
      <c r="C54">
        <f>-3.1415927/2</f>
        <v>-1.57079635</v>
      </c>
      <c r="D54" t="s">
        <v>4</v>
      </c>
      <c r="E54" t="s">
        <v>0</v>
      </c>
      <c r="F54">
        <v>0.32</v>
      </c>
      <c r="G54">
        <v>50</v>
      </c>
      <c r="H54">
        <v>0</v>
      </c>
      <c r="I54">
        <f>SIGN(G54)*SUMIF(abaqus!A:A,CONCATENATE("=",ABS(G54)),abaqus!B:B)</f>
        <v>7.0685835749999999</v>
      </c>
      <c r="J54">
        <f>SIGN(H54)*SUMIF(abaqus!A:A,CONCATENATE("=",ABS(H54)),abaqus!B:B)</f>
        <v>0</v>
      </c>
      <c r="K54">
        <f t="shared" si="0"/>
        <v>0</v>
      </c>
      <c r="L54">
        <f t="shared" si="1"/>
        <v>-7.0685835749999999</v>
      </c>
      <c r="M54">
        <f t="shared" si="20"/>
        <v>-9.8960170049999991</v>
      </c>
      <c r="N54">
        <f t="shared" si="21"/>
        <v>2.4926994974811079</v>
      </c>
      <c r="O54">
        <v>-44.297229219144654</v>
      </c>
      <c r="P54">
        <v>-21.197426612770823</v>
      </c>
      <c r="Q54">
        <v>37.84143668486908</v>
      </c>
      <c r="R54">
        <f t="shared" si="16"/>
        <v>0</v>
      </c>
      <c r="S54">
        <f t="shared" si="17"/>
        <v>-129.6</v>
      </c>
    </row>
    <row r="55" spans="1:19" x14ac:dyDescent="0.55000000000000004">
      <c r="A55">
        <v>-20</v>
      </c>
      <c r="B55">
        <v>35</v>
      </c>
      <c r="C55">
        <f>3.1415927</f>
        <v>3.1415926999999999</v>
      </c>
      <c r="D55" t="s">
        <v>4</v>
      </c>
      <c r="E55" t="s">
        <v>0</v>
      </c>
      <c r="F55">
        <v>0.32</v>
      </c>
      <c r="G55">
        <v>50</v>
      </c>
      <c r="H55">
        <v>0</v>
      </c>
      <c r="I55">
        <f>SIGN(G55)*SUMIF(abaqus!A:A,CONCATENATE("=",ABS(G55)),abaqus!B:B)</f>
        <v>7.0685835749999999</v>
      </c>
      <c r="J55">
        <f>SIGN(H55)*SUMIF(abaqus!A:A,CONCATENATE("=",ABS(H55)),abaqus!B:B)</f>
        <v>0</v>
      </c>
      <c r="K55">
        <f t="shared" si="0"/>
        <v>0</v>
      </c>
      <c r="L55">
        <f t="shared" si="1"/>
        <v>-7.0685835749999999</v>
      </c>
      <c r="M55">
        <f t="shared" si="20"/>
        <v>-9.8960170049999991</v>
      </c>
      <c r="N55">
        <f t="shared" si="21"/>
        <v>2.4926994974811079</v>
      </c>
      <c r="O55">
        <v>225.70277078086229</v>
      </c>
      <c r="P55">
        <v>-17.158563398490195</v>
      </c>
      <c r="Q55">
        <v>36.197426810578541</v>
      </c>
      <c r="R55">
        <f t="shared" si="16"/>
        <v>0</v>
      </c>
      <c r="S55">
        <f t="shared" si="17"/>
        <v>-129.6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E872D-8866-4BB2-9D80-3075677EFB09}">
  <sheetPr codeName="Sheet6"/>
  <dimension ref="A1:W77"/>
  <sheetViews>
    <sheetView zoomScale="68" zoomScaleNormal="68" workbookViewId="0">
      <selection activeCell="X19" sqref="X19"/>
    </sheetView>
  </sheetViews>
  <sheetFormatPr defaultRowHeight="14.4" x14ac:dyDescent="0.55000000000000004"/>
  <cols>
    <col min="6" max="6" width="11.578125" bestFit="1" customWidth="1"/>
    <col min="13" max="16" width="10.734375" customWidth="1"/>
    <col min="19" max="19" width="10.7890625" customWidth="1"/>
  </cols>
  <sheetData>
    <row r="1" spans="1:23" x14ac:dyDescent="0.55000000000000004">
      <c r="A1" t="s">
        <v>1</v>
      </c>
      <c r="B1" t="s">
        <v>2</v>
      </c>
      <c r="C1" t="s">
        <v>3</v>
      </c>
      <c r="D1" t="s">
        <v>5</v>
      </c>
      <c r="E1" t="s">
        <v>6</v>
      </c>
      <c r="F1" t="s">
        <v>12</v>
      </c>
      <c r="G1" t="s">
        <v>21</v>
      </c>
      <c r="H1" t="s">
        <v>7</v>
      </c>
      <c r="I1" t="s">
        <v>11</v>
      </c>
      <c r="J1" t="s">
        <v>16</v>
      </c>
      <c r="K1" t="s">
        <v>17</v>
      </c>
      <c r="L1" t="s">
        <v>29</v>
      </c>
      <c r="M1" t="s">
        <v>30</v>
      </c>
      <c r="N1" t="s">
        <v>14</v>
      </c>
      <c r="O1" t="s">
        <v>15</v>
      </c>
      <c r="P1" t="s">
        <v>10</v>
      </c>
      <c r="Q1" t="s">
        <v>8</v>
      </c>
      <c r="R1" t="s">
        <v>9</v>
      </c>
      <c r="S1" t="s">
        <v>25</v>
      </c>
      <c r="T1" t="s">
        <v>26</v>
      </c>
    </row>
    <row r="2" spans="1:23" x14ac:dyDescent="0.55000000000000004">
      <c r="A2">
        <v>0</v>
      </c>
      <c r="B2">
        <v>0</v>
      </c>
      <c r="C2">
        <v>0</v>
      </c>
      <c r="D2" t="s">
        <v>0</v>
      </c>
      <c r="E2" t="s">
        <v>4</v>
      </c>
      <c r="F2">
        <f>4*ABS(G2)/(ABS(L2)+ABS(M2))/5.6</f>
        <v>0.63999991075197238</v>
      </c>
      <c r="G2">
        <v>5.0667600000000004</v>
      </c>
      <c r="H2">
        <v>0</v>
      </c>
      <c r="I2">
        <v>20</v>
      </c>
      <c r="J2">
        <f>SIGN(V2*G2)*SUMIF(abaqus!A:A,CONCATENATE("=",ABS(V2)),abaqus!B:B)</f>
        <v>2.8274334300000001</v>
      </c>
      <c r="K2">
        <f>SIGN(W2*G2)*SUMIF(abaqus!A:A,CONCATENATE("=",ABS(W2)),abaqus!B:B)</f>
        <v>2.8274334300000001</v>
      </c>
      <c r="L2">
        <f t="shared" ref="L2" si="0">IF(D2="E",J2,0)+IF(E2="E",-K2,0)</f>
        <v>2.8274334300000001</v>
      </c>
      <c r="M2">
        <f t="shared" ref="M2" si="1">IF(D2="F",-J2,0)+IF(E2="F",K2,0)</f>
        <v>2.8274334300000001</v>
      </c>
      <c r="N2">
        <f t="shared" ref="N2" si="2">(L2+M2)*0.5*5.6/2</f>
        <v>7.9168136039999997</v>
      </c>
      <c r="O2">
        <f>(L2-M2)/3.97/2*5.6/2</f>
        <v>0</v>
      </c>
      <c r="P2">
        <v>0</v>
      </c>
      <c r="Q2">
        <v>5.0667600000001105</v>
      </c>
      <c r="R2">
        <v>0</v>
      </c>
      <c r="S2">
        <f>-L2*$F2/3.1415927*180</f>
        <v>-103.67998554181953</v>
      </c>
      <c r="T2">
        <f>M2*$F2/3.1415927*180</f>
        <v>103.67998554181953</v>
      </c>
      <c r="V2">
        <f>IF(H2=100,I2,IF(H2=-100,-I2,IF(H2&lt;0,I2*(100+H2)/100,I2)))</f>
        <v>20</v>
      </c>
      <c r="W2">
        <f>IF(H2=100,-I2,IF(H2=-100,I2,IF(H2&gt;0,I2*(100-H2)/100,I2)))</f>
        <v>20</v>
      </c>
    </row>
    <row r="3" spans="1:23" x14ac:dyDescent="0.55000000000000004">
      <c r="A3">
        <v>0</v>
      </c>
      <c r="B3">
        <v>0</v>
      </c>
      <c r="C3">
        <v>0</v>
      </c>
      <c r="D3" t="s">
        <v>0</v>
      </c>
      <c r="E3" t="s">
        <v>4</v>
      </c>
      <c r="F3">
        <f t="shared" ref="F3:F13" si="3">4*ABS(G3)/(ABS(L3)+ABS(M3))/5.6</f>
        <v>0.63999991075197238</v>
      </c>
      <c r="G3">
        <v>-5.0667600000000004</v>
      </c>
      <c r="H3">
        <v>0</v>
      </c>
      <c r="I3">
        <v>20</v>
      </c>
      <c r="J3">
        <f>SIGN(V3*G3)*SUMIF(abaqus!A:A,CONCATENATE("=",ABS(V3)),abaqus!B:B)</f>
        <v>-2.8274334300000001</v>
      </c>
      <c r="K3">
        <f>SIGN(W3*G3)*SUMIF(abaqus!A:A,CONCATENATE("=",ABS(W3)),abaqus!B:B)</f>
        <v>-2.8274334300000001</v>
      </c>
      <c r="L3">
        <f t="shared" ref="L3:L65" si="4">IF(D3="E",J3,0)+IF(E3="E",-K3,0)</f>
        <v>-2.8274334300000001</v>
      </c>
      <c r="M3">
        <f t="shared" ref="M3:M65" si="5">IF(D3="F",-J3,0)+IF(E3="F",K3,0)</f>
        <v>-2.8274334300000001</v>
      </c>
      <c r="N3">
        <f t="shared" ref="N3:N34" si="6">(L3+M3)*0.5*5.6/2</f>
        <v>-7.9168136039999997</v>
      </c>
      <c r="O3">
        <f t="shared" ref="O3:O33" si="7">(L3-M3)/3.97/2*5.6/2</f>
        <v>0</v>
      </c>
      <c r="P3">
        <v>0</v>
      </c>
      <c r="Q3">
        <v>-5.0667600000001105</v>
      </c>
      <c r="R3">
        <v>0</v>
      </c>
      <c r="S3">
        <f t="shared" ref="S3:S33" si="8">-L3*$F3/3.1415927*180</f>
        <v>103.67998554181953</v>
      </c>
      <c r="T3">
        <f t="shared" ref="T3:T12" si="9">M3*$F3/3.1415927*180</f>
        <v>-103.67998554181953</v>
      </c>
      <c r="V3">
        <f t="shared" ref="V3:V65" si="10">IF(H3=100,I3,IF(H3=-100,-I3,IF(H3&lt;0,I3*(100+H3)/100,I3)))</f>
        <v>20</v>
      </c>
      <c r="W3">
        <f t="shared" ref="W3:W65" si="11">IF(H3=100,-I3,IF(H3=-100,I3,IF(H3&gt;0,I3*(100-H3)/100,I3)))</f>
        <v>20</v>
      </c>
    </row>
    <row r="4" spans="1:23" x14ac:dyDescent="0.55000000000000004">
      <c r="A4">
        <v>0</v>
      </c>
      <c r="B4">
        <v>0</v>
      </c>
      <c r="C4">
        <v>0</v>
      </c>
      <c r="D4" t="s">
        <v>0</v>
      </c>
      <c r="E4" t="s">
        <v>4</v>
      </c>
      <c r="F4">
        <f t="shared" si="3"/>
        <v>0.63999991075197238</v>
      </c>
      <c r="G4">
        <v>-5.0667600000000004</v>
      </c>
      <c r="H4">
        <v>0</v>
      </c>
      <c r="I4">
        <v>-20</v>
      </c>
      <c r="J4">
        <f>SIGN(V4*G4)*SUMIF(abaqus!A:A,CONCATENATE("=",ABS(V4)),abaqus!B:B)</f>
        <v>2.8274334300000001</v>
      </c>
      <c r="K4">
        <f>SIGN(W4*G4)*SUMIF(abaqus!A:A,CONCATENATE("=",ABS(W4)),abaqus!B:B)</f>
        <v>2.8274334300000001</v>
      </c>
      <c r="L4">
        <f t="shared" si="4"/>
        <v>2.8274334300000001</v>
      </c>
      <c r="M4">
        <f t="shared" si="5"/>
        <v>2.8274334300000001</v>
      </c>
      <c r="N4">
        <f t="shared" si="6"/>
        <v>7.9168136039999997</v>
      </c>
      <c r="O4">
        <f t="shared" si="7"/>
        <v>0</v>
      </c>
      <c r="P4">
        <v>0</v>
      </c>
      <c r="Q4">
        <v>5.0667600000001105</v>
      </c>
      <c r="R4">
        <v>0</v>
      </c>
      <c r="S4">
        <f t="shared" si="8"/>
        <v>-103.67998554181953</v>
      </c>
      <c r="T4">
        <f t="shared" si="9"/>
        <v>103.67998554181953</v>
      </c>
      <c r="V4">
        <f t="shared" si="10"/>
        <v>-20</v>
      </c>
      <c r="W4">
        <f t="shared" si="11"/>
        <v>-20</v>
      </c>
    </row>
    <row r="5" spans="1:23" x14ac:dyDescent="0.55000000000000004">
      <c r="A5">
        <v>0</v>
      </c>
      <c r="B5">
        <v>0</v>
      </c>
      <c r="C5">
        <v>0</v>
      </c>
      <c r="D5" t="s">
        <v>0</v>
      </c>
      <c r="E5" t="s">
        <v>4</v>
      </c>
      <c r="F5">
        <f t="shared" si="3"/>
        <v>0.63999991075197238</v>
      </c>
      <c r="G5">
        <v>5.0667600000000004</v>
      </c>
      <c r="H5">
        <v>0</v>
      </c>
      <c r="I5">
        <v>-20</v>
      </c>
      <c r="J5">
        <f>SIGN(V5*G5)*SUMIF(abaqus!A:A,CONCATENATE("=",ABS(V5)),abaqus!B:B)</f>
        <v>-2.8274334300000001</v>
      </c>
      <c r="K5">
        <f>SIGN(W5*G5)*SUMIF(abaqus!A:A,CONCATENATE("=",ABS(W5)),abaqus!B:B)</f>
        <v>-2.8274334300000001</v>
      </c>
      <c r="L5">
        <f t="shared" si="4"/>
        <v>-2.8274334300000001</v>
      </c>
      <c r="M5">
        <f t="shared" si="5"/>
        <v>-2.8274334300000001</v>
      </c>
      <c r="N5">
        <f t="shared" si="6"/>
        <v>-7.9168136039999997</v>
      </c>
      <c r="O5">
        <f t="shared" si="7"/>
        <v>0</v>
      </c>
      <c r="P5">
        <v>0</v>
      </c>
      <c r="Q5">
        <v>-5.0667600000001105</v>
      </c>
      <c r="R5">
        <v>0</v>
      </c>
      <c r="S5">
        <f t="shared" si="8"/>
        <v>103.67998554181953</v>
      </c>
      <c r="T5">
        <f t="shared" si="9"/>
        <v>-103.67998554181953</v>
      </c>
      <c r="V5">
        <f t="shared" si="10"/>
        <v>-20</v>
      </c>
      <c r="W5">
        <f t="shared" si="11"/>
        <v>-20</v>
      </c>
    </row>
    <row r="6" spans="1:23" x14ac:dyDescent="0.55000000000000004">
      <c r="A6">
        <v>0</v>
      </c>
      <c r="B6">
        <v>0</v>
      </c>
      <c r="C6">
        <v>0</v>
      </c>
      <c r="D6" t="s">
        <v>0</v>
      </c>
      <c r="E6" t="s">
        <v>4</v>
      </c>
      <c r="F6">
        <f t="shared" si="3"/>
        <v>0.63999991075197238</v>
      </c>
      <c r="G6">
        <f>2*G2</f>
        <v>10.133520000000001</v>
      </c>
      <c r="H6">
        <v>0</v>
      </c>
      <c r="I6">
        <v>40</v>
      </c>
      <c r="J6">
        <f>SIGN(V6*G6)*SUMIF(abaqus!A:A,CONCATENATE("=",ABS(V6)),abaqus!B:B)</f>
        <v>5.6548668600000003</v>
      </c>
      <c r="K6">
        <f>SIGN(W6*G6)*SUMIF(abaqus!A:A,CONCATENATE("=",ABS(W6)),abaqus!B:B)</f>
        <v>5.6548668600000003</v>
      </c>
      <c r="L6">
        <f t="shared" si="4"/>
        <v>5.6548668600000003</v>
      </c>
      <c r="M6">
        <f t="shared" si="5"/>
        <v>5.6548668600000003</v>
      </c>
      <c r="N6">
        <f t="shared" si="6"/>
        <v>15.833627207999999</v>
      </c>
      <c r="O6">
        <f t="shared" si="7"/>
        <v>0</v>
      </c>
      <c r="P6">
        <v>0</v>
      </c>
      <c r="Q6">
        <v>10.133520000000221</v>
      </c>
      <c r="R6">
        <v>0</v>
      </c>
      <c r="S6">
        <f t="shared" si="8"/>
        <v>-207.35997108363907</v>
      </c>
      <c r="T6">
        <f t="shared" si="9"/>
        <v>207.35997108363907</v>
      </c>
      <c r="V6">
        <f t="shared" si="10"/>
        <v>40</v>
      </c>
      <c r="W6">
        <f t="shared" si="11"/>
        <v>40</v>
      </c>
    </row>
    <row r="7" spans="1:23" x14ac:dyDescent="0.55000000000000004">
      <c r="A7">
        <v>0</v>
      </c>
      <c r="B7">
        <v>0</v>
      </c>
      <c r="C7">
        <v>0</v>
      </c>
      <c r="D7" t="s">
        <v>0</v>
      </c>
      <c r="E7" t="s">
        <v>4</v>
      </c>
      <c r="F7">
        <f t="shared" si="3"/>
        <v>0.63999991075197238</v>
      </c>
      <c r="G7">
        <f t="shared" ref="G7:G9" si="12">2*G3</f>
        <v>-10.133520000000001</v>
      </c>
      <c r="H7">
        <v>0</v>
      </c>
      <c r="I7">
        <v>40</v>
      </c>
      <c r="J7">
        <f>SIGN(V7*G7)*SUMIF(abaqus!A:A,CONCATENATE("=",ABS(V7)),abaqus!B:B)</f>
        <v>-5.6548668600000003</v>
      </c>
      <c r="K7">
        <f>SIGN(W7*G7)*SUMIF(abaqus!A:A,CONCATENATE("=",ABS(W7)),abaqus!B:B)</f>
        <v>-5.6548668600000003</v>
      </c>
      <c r="L7">
        <f t="shared" si="4"/>
        <v>-5.6548668600000003</v>
      </c>
      <c r="M7">
        <f t="shared" si="5"/>
        <v>-5.6548668600000003</v>
      </c>
      <c r="N7">
        <f t="shared" si="6"/>
        <v>-15.833627207999999</v>
      </c>
      <c r="O7">
        <f t="shared" si="7"/>
        <v>0</v>
      </c>
      <c r="P7">
        <v>0</v>
      </c>
      <c r="Q7">
        <v>-10.133520000000221</v>
      </c>
      <c r="R7">
        <v>0</v>
      </c>
      <c r="S7">
        <f t="shared" si="8"/>
        <v>207.35997108363907</v>
      </c>
      <c r="T7">
        <f t="shared" si="9"/>
        <v>-207.35997108363907</v>
      </c>
      <c r="V7">
        <f t="shared" si="10"/>
        <v>40</v>
      </c>
      <c r="W7">
        <f t="shared" si="11"/>
        <v>40</v>
      </c>
    </row>
    <row r="8" spans="1:23" x14ac:dyDescent="0.55000000000000004">
      <c r="A8">
        <v>0</v>
      </c>
      <c r="B8">
        <v>0</v>
      </c>
      <c r="C8">
        <v>0</v>
      </c>
      <c r="D8" t="s">
        <v>0</v>
      </c>
      <c r="E8" t="s">
        <v>4</v>
      </c>
      <c r="F8">
        <f t="shared" si="3"/>
        <v>1.2799998215039448</v>
      </c>
      <c r="G8">
        <f t="shared" si="12"/>
        <v>-10.133520000000001</v>
      </c>
      <c r="H8">
        <v>0</v>
      </c>
      <c r="I8">
        <v>-20</v>
      </c>
      <c r="J8">
        <f>SIGN(V8*G8)*SUMIF(abaqus!A:A,CONCATENATE("=",ABS(V8)),abaqus!B:B)</f>
        <v>2.8274334300000001</v>
      </c>
      <c r="K8">
        <f>SIGN(W8*G8)*SUMIF(abaqus!A:A,CONCATENATE("=",ABS(W8)),abaqus!B:B)</f>
        <v>2.8274334300000001</v>
      </c>
      <c r="L8">
        <f t="shared" si="4"/>
        <v>2.8274334300000001</v>
      </c>
      <c r="M8">
        <f t="shared" si="5"/>
        <v>2.8274334300000001</v>
      </c>
      <c r="N8">
        <f t="shared" si="6"/>
        <v>7.9168136039999997</v>
      </c>
      <c r="O8">
        <f t="shared" si="7"/>
        <v>0</v>
      </c>
      <c r="P8">
        <v>0</v>
      </c>
      <c r="Q8">
        <v>10.133520000001136</v>
      </c>
      <c r="R8">
        <v>0</v>
      </c>
      <c r="S8">
        <f t="shared" si="8"/>
        <v>-207.35997108363907</v>
      </c>
      <c r="T8">
        <f t="shared" si="9"/>
        <v>207.35997108363907</v>
      </c>
      <c r="V8">
        <f t="shared" si="10"/>
        <v>-20</v>
      </c>
      <c r="W8">
        <f t="shared" si="11"/>
        <v>-20</v>
      </c>
    </row>
    <row r="9" spans="1:23" x14ac:dyDescent="0.55000000000000004">
      <c r="A9">
        <v>0</v>
      </c>
      <c r="B9">
        <v>0</v>
      </c>
      <c r="C9">
        <v>0</v>
      </c>
      <c r="D9" t="s">
        <v>0</v>
      </c>
      <c r="E9" t="s">
        <v>4</v>
      </c>
      <c r="F9">
        <f t="shared" si="3"/>
        <v>1.2799998215039448</v>
      </c>
      <c r="G9">
        <f t="shared" si="12"/>
        <v>10.133520000000001</v>
      </c>
      <c r="H9">
        <v>0</v>
      </c>
      <c r="I9">
        <v>-20</v>
      </c>
      <c r="J9">
        <f>SIGN(V9*G9)*SUMIF(abaqus!A:A,CONCATENATE("=",ABS(V9)),abaqus!B:B)</f>
        <v>-2.8274334300000001</v>
      </c>
      <c r="K9">
        <f>SIGN(W9*G9)*SUMIF(abaqus!A:A,CONCATENATE("=",ABS(W9)),abaqus!B:B)</f>
        <v>-2.8274334300000001</v>
      </c>
      <c r="L9">
        <f t="shared" si="4"/>
        <v>-2.8274334300000001</v>
      </c>
      <c r="M9">
        <f t="shared" si="5"/>
        <v>-2.8274334300000001</v>
      </c>
      <c r="N9">
        <f t="shared" si="6"/>
        <v>-7.9168136039999997</v>
      </c>
      <c r="O9">
        <f t="shared" si="7"/>
        <v>0</v>
      </c>
      <c r="P9">
        <v>0</v>
      </c>
      <c r="Q9">
        <v>-10.133520000001136</v>
      </c>
      <c r="R9">
        <v>0</v>
      </c>
      <c r="S9">
        <f t="shared" si="8"/>
        <v>207.35997108363907</v>
      </c>
      <c r="T9">
        <f t="shared" si="9"/>
        <v>-207.35997108363907</v>
      </c>
      <c r="V9">
        <f t="shared" si="10"/>
        <v>-20</v>
      </c>
      <c r="W9">
        <f t="shared" si="11"/>
        <v>-20</v>
      </c>
    </row>
    <row r="10" spans="1:23" x14ac:dyDescent="0.55000000000000004">
      <c r="A10">
        <v>0</v>
      </c>
      <c r="B10">
        <v>0</v>
      </c>
      <c r="C10">
        <v>0</v>
      </c>
      <c r="D10" t="s">
        <v>0</v>
      </c>
      <c r="E10" t="s">
        <v>4</v>
      </c>
      <c r="F10">
        <f>4*ABS(G10)/(ABS(L10)+ABS(M10))/5.6</f>
        <v>0.31507936000000003</v>
      </c>
      <c r="G10">
        <v>6.2360614089690332</v>
      </c>
      <c r="H10">
        <v>100</v>
      </c>
      <c r="I10">
        <v>50</v>
      </c>
      <c r="J10">
        <f>SIGN(V10*G10)*SUMIF(abaqus!A:A,CONCATENATE("=",ABS(V10)),abaqus!B:B)</f>
        <v>7.0685835749999999</v>
      </c>
      <c r="K10">
        <f>SIGN(W10*G10)*SUMIF(abaqus!A:A,CONCATENATE("=",ABS(W10)),abaqus!B:B)</f>
        <v>-7.0685835749999999</v>
      </c>
      <c r="L10">
        <f t="shared" si="4"/>
        <v>7.0685835749999999</v>
      </c>
      <c r="M10">
        <f t="shared" si="5"/>
        <v>-7.0685835749999999</v>
      </c>
      <c r="N10">
        <f t="shared" si="6"/>
        <v>0</v>
      </c>
      <c r="O10">
        <f t="shared" si="7"/>
        <v>4.9853989949622157</v>
      </c>
      <c r="P10">
        <v>89.999998549119482</v>
      </c>
      <c r="Q10">
        <v>0</v>
      </c>
      <c r="R10">
        <v>0</v>
      </c>
      <c r="S10">
        <f t="shared" si="8"/>
        <v>-127.60714080000002</v>
      </c>
      <c r="T10">
        <f t="shared" si="9"/>
        <v>-127.60714080000002</v>
      </c>
      <c r="V10">
        <f t="shared" si="10"/>
        <v>50</v>
      </c>
      <c r="W10">
        <f t="shared" si="11"/>
        <v>-50</v>
      </c>
    </row>
    <row r="11" spans="1:23" x14ac:dyDescent="0.55000000000000004">
      <c r="A11">
        <v>0</v>
      </c>
      <c r="B11">
        <v>0</v>
      </c>
      <c r="C11">
        <v>0</v>
      </c>
      <c r="D11" t="s">
        <v>0</v>
      </c>
      <c r="E11" t="s">
        <v>4</v>
      </c>
      <c r="F11">
        <f>4*ABS(G11)/(ABS(L11)+ABS(M11))/5.6</f>
        <v>0.31507936000000003</v>
      </c>
      <c r="G11">
        <v>6.2360614089690332</v>
      </c>
      <c r="H11">
        <v>-100</v>
      </c>
      <c r="I11">
        <v>50</v>
      </c>
      <c r="J11">
        <f>SIGN(V11*G11)*SUMIF(abaqus!A:A,CONCATENATE("=",ABS(V11)),abaqus!B:B)</f>
        <v>-7.0685835749999999</v>
      </c>
      <c r="K11">
        <f>SIGN(W11*G11)*SUMIF(abaqus!A:A,CONCATENATE("=",ABS(W11)),abaqus!B:B)</f>
        <v>7.0685835749999999</v>
      </c>
      <c r="L11">
        <f t="shared" si="4"/>
        <v>-7.0685835749999999</v>
      </c>
      <c r="M11">
        <f t="shared" si="5"/>
        <v>7.0685835749999999</v>
      </c>
      <c r="N11">
        <f t="shared" si="6"/>
        <v>0</v>
      </c>
      <c r="O11">
        <f t="shared" si="7"/>
        <v>-4.9853989949622157</v>
      </c>
      <c r="P11">
        <v>-89.999998549119482</v>
      </c>
      <c r="Q11">
        <v>0</v>
      </c>
      <c r="R11">
        <v>0</v>
      </c>
      <c r="S11">
        <f t="shared" si="8"/>
        <v>127.60714080000002</v>
      </c>
      <c r="T11">
        <f t="shared" si="9"/>
        <v>127.60714080000002</v>
      </c>
      <c r="V11">
        <f t="shared" si="10"/>
        <v>-50</v>
      </c>
      <c r="W11">
        <f t="shared" si="11"/>
        <v>50</v>
      </c>
    </row>
    <row r="12" spans="1:23" x14ac:dyDescent="0.55000000000000004">
      <c r="A12">
        <v>0</v>
      </c>
      <c r="B12">
        <v>0</v>
      </c>
      <c r="C12">
        <v>0</v>
      </c>
      <c r="D12" t="s">
        <v>0</v>
      </c>
      <c r="E12" t="s">
        <v>4</v>
      </c>
      <c r="F12">
        <f t="shared" si="3"/>
        <v>0.63015872000000006</v>
      </c>
      <c r="G12">
        <f>-2*G10</f>
        <v>-12.472122817938066</v>
      </c>
      <c r="H12">
        <v>100</v>
      </c>
      <c r="I12">
        <v>50</v>
      </c>
      <c r="J12">
        <f>SIGN(V12*G12)*SUMIF(abaqus!A:A,CONCATENATE("=",ABS(V12)),abaqus!B:B)</f>
        <v>-7.0685835749999999</v>
      </c>
      <c r="K12">
        <f>SIGN(W12*G12)*SUMIF(abaqus!A:A,CONCATENATE("=",ABS(W12)),abaqus!B:B)</f>
        <v>7.0685835749999999</v>
      </c>
      <c r="L12">
        <f t="shared" si="4"/>
        <v>-7.0685835749999999</v>
      </c>
      <c r="M12">
        <f t="shared" si="5"/>
        <v>7.0685835749999999</v>
      </c>
      <c r="N12">
        <f t="shared" si="6"/>
        <v>0</v>
      </c>
      <c r="O12">
        <f t="shared" si="7"/>
        <v>-4.9853989949622157</v>
      </c>
      <c r="P12">
        <v>-179.99999709823979</v>
      </c>
      <c r="Q12">
        <v>0</v>
      </c>
      <c r="R12">
        <v>0</v>
      </c>
      <c r="S12">
        <f t="shared" si="8"/>
        <v>255.21428160000005</v>
      </c>
      <c r="T12">
        <f t="shared" si="9"/>
        <v>255.21428160000005</v>
      </c>
      <c r="V12">
        <f t="shared" si="10"/>
        <v>50</v>
      </c>
      <c r="W12">
        <f t="shared" si="11"/>
        <v>-50</v>
      </c>
    </row>
    <row r="13" spans="1:23" x14ac:dyDescent="0.55000000000000004">
      <c r="A13">
        <v>0</v>
      </c>
      <c r="B13">
        <v>0</v>
      </c>
      <c r="C13">
        <v>0</v>
      </c>
      <c r="D13" t="s">
        <v>0</v>
      </c>
      <c r="E13" t="s">
        <v>4</v>
      </c>
      <c r="F13">
        <f t="shared" si="3"/>
        <v>1.5753968</v>
      </c>
      <c r="G13">
        <f>5*G10</f>
        <v>31.180307044845165</v>
      </c>
      <c r="H13">
        <v>100</v>
      </c>
      <c r="I13">
        <v>-50</v>
      </c>
      <c r="J13">
        <f>SIGN(V13*G13)*SUMIF(abaqus!A:A,CONCATENATE("=",ABS(V13)),abaqus!B:B)</f>
        <v>-7.0685835749999999</v>
      </c>
      <c r="K13">
        <f>SIGN(W13*G13)*SUMIF(abaqus!A:A,CONCATENATE("=",ABS(W13)),abaqus!B:B)</f>
        <v>7.0685835749999999</v>
      </c>
      <c r="L13">
        <f t="shared" si="4"/>
        <v>-7.0685835749999999</v>
      </c>
      <c r="M13">
        <f t="shared" si="5"/>
        <v>7.0685835749999999</v>
      </c>
      <c r="N13">
        <f t="shared" si="6"/>
        <v>0</v>
      </c>
      <c r="O13">
        <f t="shared" si="7"/>
        <v>-4.9853989949622157</v>
      </c>
      <c r="P13">
        <v>-449.99999274565096</v>
      </c>
      <c r="Q13">
        <v>0</v>
      </c>
      <c r="R13">
        <v>0</v>
      </c>
      <c r="S13">
        <f t="shared" si="8"/>
        <v>638.03570400000001</v>
      </c>
      <c r="T13">
        <f>M13*$F13/3.1415927*180</f>
        <v>638.03570400000001</v>
      </c>
      <c r="V13">
        <f t="shared" si="10"/>
        <v>-50</v>
      </c>
      <c r="W13">
        <f t="shared" si="11"/>
        <v>50</v>
      </c>
    </row>
    <row r="14" spans="1:23" x14ac:dyDescent="0.55000000000000004">
      <c r="A14">
        <v>0</v>
      </c>
      <c r="B14">
        <v>0</v>
      </c>
      <c r="C14">
        <v>0</v>
      </c>
      <c r="D14" t="s">
        <v>0</v>
      </c>
      <c r="E14" t="s">
        <v>4</v>
      </c>
      <c r="F14">
        <f>4*ABS(G14)/(ABS(L14)+ABS(M14))/5.6</f>
        <v>0.63015872000000006</v>
      </c>
      <c r="G14">
        <v>6.2360614089690332</v>
      </c>
      <c r="H14">
        <v>99</v>
      </c>
      <c r="I14">
        <v>50</v>
      </c>
      <c r="J14">
        <f>SIGN(V14*G14)*SUMIF(abaqus!A:A,CONCATENATE("=",ABS(V14)),abaqus!B:B)</f>
        <v>7.0685835749999999</v>
      </c>
      <c r="K14">
        <f>SIGN(W14*G14)*SUMIF(abaqus!A:A,CONCATENATE("=",ABS(W14)),abaqus!B:B)</f>
        <v>0</v>
      </c>
      <c r="L14">
        <f t="shared" ref="L14:L17" si="13">IF(D14="E",J14,0)+IF(E14="E",-K14,0)</f>
        <v>7.0685835749999999</v>
      </c>
      <c r="M14">
        <f t="shared" ref="M14:M17" si="14">IF(D14="F",-J14,0)+IF(E14="F",K14,0)</f>
        <v>0</v>
      </c>
      <c r="N14">
        <f t="shared" ref="N14:N17" si="15">(L14+M14)*0.5*5.6/2</f>
        <v>9.8960170049999991</v>
      </c>
      <c r="O14">
        <f t="shared" ref="O14:O17" si="16">(L14-M14)/3.97/2*5.6/2</f>
        <v>2.4926994974811079</v>
      </c>
      <c r="P14">
        <v>89.999998549119894</v>
      </c>
      <c r="Q14">
        <v>3.970000567672217</v>
      </c>
      <c r="R14">
        <v>3.9700002483660572</v>
      </c>
      <c r="S14">
        <f t="shared" ref="S14:S17" si="17">-L14*$F14/3.1415927*180</f>
        <v>-255.21428160000005</v>
      </c>
      <c r="T14">
        <f t="shared" ref="T14:T16" si="18">M14*$F14/3.1415927*180</f>
        <v>0</v>
      </c>
      <c r="V14">
        <f t="shared" ref="V14:V17" si="19">IF(H14=100,I14,IF(H14=-100,-I14,IF(H14&lt;0,I14*(100+H14)/100,I14)))</f>
        <v>50</v>
      </c>
      <c r="W14">
        <f t="shared" ref="W14:W17" si="20">IF(H14=100,-I14,IF(H14=-100,I14,IF(H14&gt;0,I14*(100-H14)/100,I14)))</f>
        <v>0.5</v>
      </c>
    </row>
    <row r="15" spans="1:23" x14ac:dyDescent="0.55000000000000004">
      <c r="A15">
        <v>0</v>
      </c>
      <c r="B15">
        <v>0</v>
      </c>
      <c r="C15">
        <v>0</v>
      </c>
      <c r="D15" t="s">
        <v>0</v>
      </c>
      <c r="E15" t="s">
        <v>4</v>
      </c>
      <c r="F15">
        <f>4*ABS(G15)/(ABS(L15)+ABS(M15))/5.6</f>
        <v>0.63015872000000006</v>
      </c>
      <c r="G15">
        <v>6.2360614089690332</v>
      </c>
      <c r="H15">
        <v>-99</v>
      </c>
      <c r="I15">
        <v>50</v>
      </c>
      <c r="J15">
        <f>SIGN(V15*G15)*SUMIF(abaqus!A:A,CONCATENATE("=",ABS(V15)),abaqus!B:B)</f>
        <v>0</v>
      </c>
      <c r="K15">
        <f>SIGN(W15*G15)*SUMIF(abaqus!A:A,CONCATENATE("=",ABS(W15)),abaqus!B:B)</f>
        <v>7.0685835749999999</v>
      </c>
      <c r="L15">
        <f t="shared" si="13"/>
        <v>0</v>
      </c>
      <c r="M15">
        <f t="shared" si="14"/>
        <v>7.0685835749999999</v>
      </c>
      <c r="N15">
        <f t="shared" si="15"/>
        <v>9.8960170049999991</v>
      </c>
      <c r="O15">
        <f t="shared" si="16"/>
        <v>-2.4926994974811079</v>
      </c>
      <c r="P15">
        <v>-89.999998549119894</v>
      </c>
      <c r="Q15">
        <v>3.970000567672217</v>
      </c>
      <c r="R15">
        <v>-3.9700002483660572</v>
      </c>
      <c r="S15">
        <f t="shared" si="17"/>
        <v>0</v>
      </c>
      <c r="T15">
        <f t="shared" si="18"/>
        <v>255.21428160000005</v>
      </c>
      <c r="V15">
        <f t="shared" si="19"/>
        <v>0.5</v>
      </c>
      <c r="W15">
        <f t="shared" si="20"/>
        <v>50</v>
      </c>
    </row>
    <row r="16" spans="1:23" x14ac:dyDescent="0.55000000000000004">
      <c r="A16">
        <v>0</v>
      </c>
      <c r="B16">
        <v>0</v>
      </c>
      <c r="C16">
        <v>0</v>
      </c>
      <c r="D16" t="s">
        <v>0</v>
      </c>
      <c r="E16" t="s">
        <v>4</v>
      </c>
      <c r="F16">
        <f t="shared" ref="F16:F17" si="21">4*ABS(G16)/(ABS(L16)+ABS(M16))/5.6</f>
        <v>1.2603174400000001</v>
      </c>
      <c r="G16">
        <f>-2*G14</f>
        <v>-12.472122817938066</v>
      </c>
      <c r="H16">
        <v>99</v>
      </c>
      <c r="I16">
        <v>50</v>
      </c>
      <c r="J16">
        <f>SIGN(V16*G16)*SUMIF(abaqus!A:A,CONCATENATE("=",ABS(V16)),abaqus!B:B)</f>
        <v>-7.0685835749999999</v>
      </c>
      <c r="K16">
        <f>SIGN(W16*G16)*SUMIF(abaqus!A:A,CONCATENATE("=",ABS(W16)),abaqus!B:B)</f>
        <v>0</v>
      </c>
      <c r="L16">
        <f t="shared" si="13"/>
        <v>-7.0685835749999999</v>
      </c>
      <c r="M16">
        <f t="shared" si="14"/>
        <v>0</v>
      </c>
      <c r="N16">
        <f t="shared" si="15"/>
        <v>-9.8960170049999991</v>
      </c>
      <c r="O16">
        <f t="shared" si="16"/>
        <v>-2.4926994974811079</v>
      </c>
      <c r="P16">
        <v>-179.99999709825551</v>
      </c>
      <c r="Q16">
        <v>-1.7671516929895076E-8</v>
      </c>
      <c r="R16">
        <v>7.940001756776164</v>
      </c>
      <c r="S16">
        <f t="shared" si="17"/>
        <v>510.4285632000001</v>
      </c>
      <c r="T16">
        <f t="shared" si="18"/>
        <v>0</v>
      </c>
      <c r="V16">
        <f t="shared" si="19"/>
        <v>50</v>
      </c>
      <c r="W16">
        <f t="shared" si="20"/>
        <v>0.5</v>
      </c>
    </row>
    <row r="17" spans="1:23" x14ac:dyDescent="0.55000000000000004">
      <c r="A17">
        <v>0</v>
      </c>
      <c r="B17">
        <v>0</v>
      </c>
      <c r="C17">
        <v>0</v>
      </c>
      <c r="D17" t="s">
        <v>0</v>
      </c>
      <c r="E17" t="s">
        <v>4</v>
      </c>
      <c r="F17">
        <f t="shared" si="21"/>
        <v>3.1507936000000001</v>
      </c>
      <c r="G17">
        <f>5*G14</f>
        <v>31.180307044845165</v>
      </c>
      <c r="H17">
        <v>99</v>
      </c>
      <c r="I17">
        <v>-50</v>
      </c>
      <c r="J17">
        <f>SIGN(V17*G17)*SUMIF(abaqus!A:A,CONCATENATE("=",ABS(V17)),abaqus!B:B)</f>
        <v>-7.0685835749999999</v>
      </c>
      <c r="K17">
        <f>SIGN(W17*G17)*SUMIF(abaqus!A:A,CONCATENATE("=",ABS(W17)),abaqus!B:B)</f>
        <v>0</v>
      </c>
      <c r="L17">
        <f t="shared" si="13"/>
        <v>-7.0685835749999999</v>
      </c>
      <c r="M17">
        <f t="shared" si="14"/>
        <v>0</v>
      </c>
      <c r="N17">
        <f t="shared" si="15"/>
        <v>-9.8960170049999991</v>
      </c>
      <c r="O17">
        <f t="shared" si="16"/>
        <v>-2.4926994974811079</v>
      </c>
      <c r="P17">
        <v>-449.99999274552385</v>
      </c>
      <c r="Q17">
        <v>-3.9700013201523001</v>
      </c>
      <c r="R17">
        <v>3.9700002142106094</v>
      </c>
      <c r="S17">
        <f t="shared" si="17"/>
        <v>1276.071408</v>
      </c>
      <c r="T17">
        <f>M17*$F17/3.1415927*180</f>
        <v>0</v>
      </c>
      <c r="V17">
        <f t="shared" si="19"/>
        <v>-50</v>
      </c>
      <c r="W17">
        <f t="shared" si="20"/>
        <v>-0.5</v>
      </c>
    </row>
    <row r="18" spans="1:23" x14ac:dyDescent="0.55000000000000004">
      <c r="A18">
        <v>-20</v>
      </c>
      <c r="B18">
        <v>35</v>
      </c>
      <c r="C18">
        <v>0</v>
      </c>
      <c r="D18" t="s">
        <v>0</v>
      </c>
      <c r="E18" t="s">
        <v>4</v>
      </c>
      <c r="F18">
        <f t="shared" ref="F18:F33" si="22">4*ABS(G18)/(ABS(L18)+ABS(M18))/5.6</f>
        <v>0.63156722516161445</v>
      </c>
      <c r="G18">
        <v>5</v>
      </c>
      <c r="H18">
        <v>0</v>
      </c>
      <c r="I18">
        <v>20</v>
      </c>
      <c r="J18">
        <f>SIGN(V18*G18)*SUMIF(abaqus!A:A,CONCATENATE("=",ABS(V18)),abaqus!B:B)</f>
        <v>2.8274334300000001</v>
      </c>
      <c r="K18">
        <f>SIGN(W18*G18)*SUMIF(abaqus!A:A,CONCATENATE("=",ABS(W18)),abaqus!B:B)</f>
        <v>2.8274334300000001</v>
      </c>
      <c r="L18">
        <f t="shared" si="4"/>
        <v>2.8274334300000001</v>
      </c>
      <c r="M18">
        <f t="shared" si="5"/>
        <v>2.8274334300000001</v>
      </c>
      <c r="N18">
        <f t="shared" si="6"/>
        <v>7.9168136039999997</v>
      </c>
      <c r="O18">
        <f t="shared" si="7"/>
        <v>0</v>
      </c>
      <c r="P18">
        <v>0</v>
      </c>
      <c r="Q18">
        <v>-15.00000000000057</v>
      </c>
      <c r="R18">
        <v>35</v>
      </c>
      <c r="S18">
        <f t="shared" si="8"/>
        <v>-102.31389047618156</v>
      </c>
      <c r="T18">
        <f t="shared" ref="T18:T33" si="23">M18*$F18/3.1415927*180</f>
        <v>102.31389047618156</v>
      </c>
      <c r="V18">
        <f t="shared" si="10"/>
        <v>20</v>
      </c>
      <c r="W18">
        <f t="shared" si="11"/>
        <v>20</v>
      </c>
    </row>
    <row r="19" spans="1:23" x14ac:dyDescent="0.55000000000000004">
      <c r="A19">
        <v>-20</v>
      </c>
      <c r="B19">
        <v>35</v>
      </c>
      <c r="C19">
        <f>3.1415927/2</f>
        <v>1.57079635</v>
      </c>
      <c r="D19" t="s">
        <v>0</v>
      </c>
      <c r="E19" t="s">
        <v>4</v>
      </c>
      <c r="F19">
        <f t="shared" si="22"/>
        <v>0.63156722516161445</v>
      </c>
      <c r="G19">
        <v>5</v>
      </c>
      <c r="H19">
        <v>0</v>
      </c>
      <c r="I19">
        <v>20</v>
      </c>
      <c r="J19">
        <f>SIGN(V19*G19)*SUMIF(abaqus!A:A,CONCATENATE("=",ABS(V19)),abaqus!B:B)</f>
        <v>2.8274334300000001</v>
      </c>
      <c r="K19">
        <f>SIGN(W19*G19)*SUMIF(abaqus!A:A,CONCATENATE("=",ABS(W19)),abaqus!B:B)</f>
        <v>2.8274334300000001</v>
      </c>
      <c r="L19">
        <f t="shared" si="4"/>
        <v>2.8274334300000001</v>
      </c>
      <c r="M19">
        <f t="shared" si="5"/>
        <v>2.8274334300000001</v>
      </c>
      <c r="N19">
        <f t="shared" si="6"/>
        <v>7.9168136039999997</v>
      </c>
      <c r="O19">
        <f t="shared" si="7"/>
        <v>0</v>
      </c>
      <c r="P19">
        <v>90</v>
      </c>
      <c r="Q19">
        <v>-20.000000116025735</v>
      </c>
      <c r="R19">
        <v>39.999999999998977</v>
      </c>
      <c r="S19">
        <f t="shared" si="8"/>
        <v>-102.31389047618156</v>
      </c>
      <c r="T19">
        <f t="shared" si="23"/>
        <v>102.31389047618156</v>
      </c>
      <c r="V19">
        <f t="shared" si="10"/>
        <v>20</v>
      </c>
      <c r="W19">
        <f t="shared" si="11"/>
        <v>20</v>
      </c>
    </row>
    <row r="20" spans="1:23" x14ac:dyDescent="0.55000000000000004">
      <c r="A20">
        <v>-20</v>
      </c>
      <c r="B20">
        <v>35</v>
      </c>
      <c r="C20">
        <f>-3.1415927/2</f>
        <v>-1.57079635</v>
      </c>
      <c r="D20" t="s">
        <v>0</v>
      </c>
      <c r="E20" t="s">
        <v>4</v>
      </c>
      <c r="F20">
        <f t="shared" si="22"/>
        <v>0.63156722516161445</v>
      </c>
      <c r="G20">
        <v>5</v>
      </c>
      <c r="H20">
        <v>0</v>
      </c>
      <c r="I20">
        <v>20</v>
      </c>
      <c r="J20">
        <f>SIGN(V20*G20)*SUMIF(abaqus!A:A,CONCATENATE("=",ABS(V20)),abaqus!B:B)</f>
        <v>2.8274334300000001</v>
      </c>
      <c r="K20">
        <f>SIGN(W20*G20)*SUMIF(abaqus!A:A,CONCATENATE("=",ABS(W20)),abaqus!B:B)</f>
        <v>2.8274334300000001</v>
      </c>
      <c r="L20">
        <f t="shared" si="4"/>
        <v>2.8274334300000001</v>
      </c>
      <c r="M20">
        <f t="shared" si="5"/>
        <v>2.8274334300000001</v>
      </c>
      <c r="N20">
        <f t="shared" si="6"/>
        <v>7.9168136039999997</v>
      </c>
      <c r="O20">
        <f t="shared" si="7"/>
        <v>0</v>
      </c>
      <c r="P20">
        <v>-90</v>
      </c>
      <c r="Q20">
        <v>-20.000000116025735</v>
      </c>
      <c r="R20">
        <v>30.00000000000102</v>
      </c>
      <c r="S20">
        <f t="shared" si="8"/>
        <v>-102.31389047618156</v>
      </c>
      <c r="T20">
        <f t="shared" si="23"/>
        <v>102.31389047618156</v>
      </c>
      <c r="V20">
        <f t="shared" si="10"/>
        <v>20</v>
      </c>
      <c r="W20">
        <f t="shared" si="11"/>
        <v>20</v>
      </c>
    </row>
    <row r="21" spans="1:23" x14ac:dyDescent="0.55000000000000004">
      <c r="A21">
        <v>-20</v>
      </c>
      <c r="B21">
        <v>35</v>
      </c>
      <c r="C21">
        <f>3.1415927</f>
        <v>3.1415926999999999</v>
      </c>
      <c r="D21" t="s">
        <v>0</v>
      </c>
      <c r="E21" t="s">
        <v>4</v>
      </c>
      <c r="F21">
        <f t="shared" si="22"/>
        <v>0.63156722516161445</v>
      </c>
      <c r="G21">
        <v>5</v>
      </c>
      <c r="H21">
        <v>0</v>
      </c>
      <c r="I21">
        <v>20</v>
      </c>
      <c r="J21">
        <f>SIGN(V21*G21)*SUMIF(abaqus!A:A,CONCATENATE("=",ABS(V21)),abaqus!B:B)</f>
        <v>2.8274334300000001</v>
      </c>
      <c r="K21">
        <f>SIGN(W21*G21)*SUMIF(abaqus!A:A,CONCATENATE("=",ABS(W21)),abaqus!B:B)</f>
        <v>2.8274334300000001</v>
      </c>
      <c r="L21">
        <f t="shared" si="4"/>
        <v>2.8274334300000001</v>
      </c>
      <c r="M21">
        <f t="shared" si="5"/>
        <v>2.8274334300000001</v>
      </c>
      <c r="N21">
        <f t="shared" si="6"/>
        <v>7.9168136039999997</v>
      </c>
      <c r="O21">
        <f t="shared" si="7"/>
        <v>0</v>
      </c>
      <c r="P21">
        <v>180</v>
      </c>
      <c r="Q21">
        <v>-24.99999999999898</v>
      </c>
      <c r="R21">
        <v>34.99999976794853</v>
      </c>
      <c r="S21">
        <f t="shared" si="8"/>
        <v>-102.31389047618156</v>
      </c>
      <c r="T21">
        <f t="shared" si="23"/>
        <v>102.31389047618156</v>
      </c>
      <c r="V21">
        <f t="shared" si="10"/>
        <v>20</v>
      </c>
      <c r="W21">
        <f t="shared" si="11"/>
        <v>20</v>
      </c>
    </row>
    <row r="22" spans="1:23" x14ac:dyDescent="0.55000000000000004">
      <c r="A22">
        <v>-20</v>
      </c>
      <c r="B22">
        <v>35</v>
      </c>
      <c r="C22">
        <v>0</v>
      </c>
      <c r="D22" t="s">
        <v>0</v>
      </c>
      <c r="E22" t="s">
        <v>4</v>
      </c>
      <c r="F22">
        <f t="shared" si="22"/>
        <v>0.25262689006464578</v>
      </c>
      <c r="G22">
        <v>5</v>
      </c>
      <c r="H22">
        <v>100</v>
      </c>
      <c r="I22">
        <v>50</v>
      </c>
      <c r="J22">
        <f>SIGN(V22*G22)*SUMIF(abaqus!A:A,CONCATENATE("=",ABS(V22)),abaqus!B:B)</f>
        <v>7.0685835749999999</v>
      </c>
      <c r="K22">
        <f>SIGN(W22*G22)*SUMIF(abaqus!A:A,CONCATENATE("=",ABS(W22)),abaqus!B:B)</f>
        <v>-7.0685835749999999</v>
      </c>
      <c r="L22">
        <f t="shared" si="4"/>
        <v>7.0685835749999999</v>
      </c>
      <c r="M22">
        <f t="shared" si="5"/>
        <v>-7.0685835749999999</v>
      </c>
      <c r="N22">
        <f t="shared" si="6"/>
        <v>0</v>
      </c>
      <c r="O22">
        <f t="shared" si="7"/>
        <v>4.9853989949622157</v>
      </c>
      <c r="P22">
        <v>72.160930310657378</v>
      </c>
      <c r="Q22">
        <v>-20</v>
      </c>
      <c r="R22">
        <v>35</v>
      </c>
      <c r="S22">
        <f t="shared" si="8"/>
        <v>-102.31389047618154</v>
      </c>
      <c r="T22">
        <f t="shared" si="23"/>
        <v>-102.31389047618154</v>
      </c>
      <c r="V22">
        <f t="shared" si="10"/>
        <v>50</v>
      </c>
      <c r="W22">
        <f t="shared" si="11"/>
        <v>-50</v>
      </c>
    </row>
    <row r="23" spans="1:23" x14ac:dyDescent="0.55000000000000004">
      <c r="A23">
        <v>-20</v>
      </c>
      <c r="B23">
        <v>35</v>
      </c>
      <c r="C23">
        <f>3.1415927/2</f>
        <v>1.57079635</v>
      </c>
      <c r="D23" t="s">
        <v>0</v>
      </c>
      <c r="E23" t="s">
        <v>4</v>
      </c>
      <c r="F23">
        <f t="shared" si="22"/>
        <v>0.25262689006464578</v>
      </c>
      <c r="G23">
        <v>5</v>
      </c>
      <c r="H23">
        <v>100</v>
      </c>
      <c r="I23">
        <v>50</v>
      </c>
      <c r="J23">
        <f>SIGN(V23*G23)*SUMIF(abaqus!A:A,CONCATENATE("=",ABS(V23)),abaqus!B:B)</f>
        <v>7.0685835749999999</v>
      </c>
      <c r="K23">
        <f>SIGN(W23*G23)*SUMIF(abaqus!A:A,CONCATENATE("=",ABS(W23)),abaqus!B:B)</f>
        <v>-7.0685835749999999</v>
      </c>
      <c r="L23">
        <f t="shared" si="4"/>
        <v>7.0685835749999999</v>
      </c>
      <c r="M23">
        <f t="shared" si="5"/>
        <v>-7.0685835749999999</v>
      </c>
      <c r="N23">
        <f t="shared" si="6"/>
        <v>0</v>
      </c>
      <c r="O23">
        <f t="shared" si="7"/>
        <v>4.9853989949622157</v>
      </c>
      <c r="P23">
        <v>162.16093031065569</v>
      </c>
      <c r="Q23">
        <v>-20</v>
      </c>
      <c r="R23">
        <v>35</v>
      </c>
      <c r="S23">
        <f t="shared" si="8"/>
        <v>-102.31389047618154</v>
      </c>
      <c r="T23">
        <f t="shared" si="23"/>
        <v>-102.31389047618154</v>
      </c>
      <c r="V23">
        <f t="shared" si="10"/>
        <v>50</v>
      </c>
      <c r="W23">
        <f t="shared" si="11"/>
        <v>-50</v>
      </c>
    </row>
    <row r="24" spans="1:23" x14ac:dyDescent="0.55000000000000004">
      <c r="A24">
        <v>-20</v>
      </c>
      <c r="B24">
        <v>35</v>
      </c>
      <c r="C24">
        <f>-3.1415927/2</f>
        <v>-1.57079635</v>
      </c>
      <c r="D24" t="s">
        <v>0</v>
      </c>
      <c r="E24" t="s">
        <v>4</v>
      </c>
      <c r="F24">
        <f t="shared" si="22"/>
        <v>0.25262689006464578</v>
      </c>
      <c r="G24">
        <v>5</v>
      </c>
      <c r="H24">
        <v>100</v>
      </c>
      <c r="I24">
        <v>50</v>
      </c>
      <c r="J24">
        <f>SIGN(V24*G24)*SUMIF(abaqus!A:A,CONCATENATE("=",ABS(V24)),abaqus!B:B)</f>
        <v>7.0685835749999999</v>
      </c>
      <c r="K24">
        <f>SIGN(W24*G24)*SUMIF(abaqus!A:A,CONCATENATE("=",ABS(W24)),abaqus!B:B)</f>
        <v>-7.0685835749999999</v>
      </c>
      <c r="L24">
        <f t="shared" si="4"/>
        <v>7.0685835749999999</v>
      </c>
      <c r="M24">
        <f t="shared" si="5"/>
        <v>-7.0685835749999999</v>
      </c>
      <c r="N24">
        <f t="shared" si="6"/>
        <v>0</v>
      </c>
      <c r="O24">
        <f t="shared" si="7"/>
        <v>4.9853989949622157</v>
      </c>
      <c r="P24">
        <v>-17.839069689341859</v>
      </c>
      <c r="Q24">
        <v>-20</v>
      </c>
      <c r="R24">
        <v>35</v>
      </c>
      <c r="S24">
        <f t="shared" si="8"/>
        <v>-102.31389047618154</v>
      </c>
      <c r="T24">
        <f t="shared" si="23"/>
        <v>-102.31389047618154</v>
      </c>
      <c r="V24">
        <f t="shared" si="10"/>
        <v>50</v>
      </c>
      <c r="W24">
        <f t="shared" si="11"/>
        <v>-50</v>
      </c>
    </row>
    <row r="25" spans="1:23" x14ac:dyDescent="0.55000000000000004">
      <c r="A25">
        <v>-20</v>
      </c>
      <c r="B25">
        <v>35</v>
      </c>
      <c r="C25">
        <f>3.1415927</f>
        <v>3.1415926999999999</v>
      </c>
      <c r="D25" t="s">
        <v>0</v>
      </c>
      <c r="E25" t="s">
        <v>4</v>
      </c>
      <c r="F25">
        <f t="shared" si="22"/>
        <v>0.25262689006464578</v>
      </c>
      <c r="G25">
        <v>5</v>
      </c>
      <c r="H25">
        <v>100</v>
      </c>
      <c r="I25">
        <v>50</v>
      </c>
      <c r="J25">
        <f>SIGN(V25*G25)*SUMIF(abaqus!A:A,CONCATENATE("=",ABS(V25)),abaqus!B:B)</f>
        <v>7.0685835749999999</v>
      </c>
      <c r="K25">
        <f>SIGN(W25*G25)*SUMIF(abaqus!A:A,CONCATENATE("=",ABS(W25)),abaqus!B:B)</f>
        <v>-7.0685835749999999</v>
      </c>
      <c r="L25">
        <f t="shared" si="4"/>
        <v>7.0685835749999999</v>
      </c>
      <c r="M25">
        <f t="shared" si="5"/>
        <v>-7.0685835749999999</v>
      </c>
      <c r="N25">
        <f t="shared" si="6"/>
        <v>0</v>
      </c>
      <c r="O25">
        <f t="shared" si="7"/>
        <v>4.9853989949622157</v>
      </c>
      <c r="P25">
        <v>252.16093031065753</v>
      </c>
      <c r="Q25">
        <v>-20</v>
      </c>
      <c r="R25">
        <v>35</v>
      </c>
      <c r="S25">
        <f t="shared" si="8"/>
        <v>-102.31389047618154</v>
      </c>
      <c r="T25">
        <f t="shared" si="23"/>
        <v>-102.31389047618154</v>
      </c>
      <c r="V25">
        <f t="shared" si="10"/>
        <v>50</v>
      </c>
      <c r="W25">
        <f t="shared" si="11"/>
        <v>-50</v>
      </c>
    </row>
    <row r="26" spans="1:23" x14ac:dyDescent="0.55000000000000004">
      <c r="A26">
        <v>-20</v>
      </c>
      <c r="B26">
        <v>35</v>
      </c>
      <c r="C26">
        <v>0</v>
      </c>
      <c r="D26" t="s">
        <v>0</v>
      </c>
      <c r="E26" t="s">
        <v>4</v>
      </c>
      <c r="F26">
        <f t="shared" ref="F26:F29" si="24">4*ABS(G26)/(ABS(L26)+ABS(M26))/5.6</f>
        <v>0.50525378012929156</v>
      </c>
      <c r="G26">
        <v>5</v>
      </c>
      <c r="H26">
        <v>99</v>
      </c>
      <c r="I26">
        <v>50</v>
      </c>
      <c r="J26">
        <f>SIGN(V26*G26)*SUMIF(abaqus!A:A,CONCATENATE("=",ABS(V26)),abaqus!B:B)</f>
        <v>7.0685835749999999</v>
      </c>
      <c r="K26">
        <f>SIGN(W26*G26)*SUMIF(abaqus!A:A,CONCATENATE("=",ABS(W26)),abaqus!B:B)</f>
        <v>0</v>
      </c>
      <c r="L26">
        <f t="shared" ref="L26:L29" si="25">IF(D26="E",J26,0)+IF(E26="E",-K26,0)</f>
        <v>7.0685835749999999</v>
      </c>
      <c r="M26">
        <f t="shared" ref="M26:M29" si="26">IF(D26="F",-J26,0)+IF(E26="F",K26,0)</f>
        <v>0</v>
      </c>
      <c r="N26">
        <f t="shared" ref="N26:N29" si="27">(L26+M26)*0.5*5.6/2</f>
        <v>9.8960170049999991</v>
      </c>
      <c r="O26">
        <f t="shared" ref="O26:O29" si="28">(L26-M26)/3.97/2*5.6/2</f>
        <v>2.4926994974811079</v>
      </c>
      <c r="P26">
        <v>72.160930310657406</v>
      </c>
      <c r="Q26">
        <v>-16.220873720803027</v>
      </c>
      <c r="R26">
        <v>37.753812395930019</v>
      </c>
      <c r="S26">
        <f t="shared" ref="S26:S29" si="29">-L26*$F26/3.1415927*180</f>
        <v>-204.62778095236308</v>
      </c>
      <c r="T26">
        <f t="shared" ref="T26:T29" si="30">M26*$F26/3.1415927*180</f>
        <v>0</v>
      </c>
      <c r="V26">
        <f t="shared" ref="V26:V29" si="31">IF(H26=100,I26,IF(H26=-100,-I26,IF(H26&lt;0,I26*(100+H26)/100,I26)))</f>
        <v>50</v>
      </c>
      <c r="W26">
        <f t="shared" ref="W26:W29" si="32">IF(H26=100,-I26,IF(H26=-100,I26,IF(H26&gt;0,I26*(100-H26)/100,I26)))</f>
        <v>0.5</v>
      </c>
    </row>
    <row r="27" spans="1:23" x14ac:dyDescent="0.55000000000000004">
      <c r="A27">
        <v>-20</v>
      </c>
      <c r="B27">
        <v>35</v>
      </c>
      <c r="C27">
        <f>3.1415927/2</f>
        <v>1.57079635</v>
      </c>
      <c r="D27" t="s">
        <v>0</v>
      </c>
      <c r="E27" t="s">
        <v>4</v>
      </c>
      <c r="F27">
        <f t="shared" si="24"/>
        <v>0.50525378012929156</v>
      </c>
      <c r="G27">
        <v>5</v>
      </c>
      <c r="H27">
        <v>99</v>
      </c>
      <c r="I27">
        <v>50</v>
      </c>
      <c r="J27">
        <f>SIGN(V27*G27)*SUMIF(abaqus!A:A,CONCATENATE("=",ABS(V27)),abaqus!B:B)</f>
        <v>7.0685835749999999</v>
      </c>
      <c r="K27">
        <f>SIGN(W27*G27)*SUMIF(abaqus!A:A,CONCATENATE("=",ABS(W27)),abaqus!B:B)</f>
        <v>0</v>
      </c>
      <c r="L27">
        <f t="shared" si="25"/>
        <v>7.0685835749999999</v>
      </c>
      <c r="M27">
        <f t="shared" si="26"/>
        <v>0</v>
      </c>
      <c r="N27">
        <f t="shared" si="27"/>
        <v>9.8960170049999991</v>
      </c>
      <c r="O27">
        <f t="shared" si="28"/>
        <v>2.4926994974811079</v>
      </c>
      <c r="P27">
        <v>162.16093031066202</v>
      </c>
      <c r="Q27">
        <v>-22.753812483625001</v>
      </c>
      <c r="R27">
        <v>38.77912621529449</v>
      </c>
      <c r="S27">
        <f t="shared" si="29"/>
        <v>-204.62778095236308</v>
      </c>
      <c r="T27">
        <f t="shared" si="30"/>
        <v>0</v>
      </c>
      <c r="V27">
        <f t="shared" si="31"/>
        <v>50</v>
      </c>
      <c r="W27">
        <f t="shared" si="32"/>
        <v>0.5</v>
      </c>
    </row>
    <row r="28" spans="1:23" x14ac:dyDescent="0.55000000000000004">
      <c r="A28">
        <v>-20</v>
      </c>
      <c r="B28">
        <v>35</v>
      </c>
      <c r="C28">
        <f>-3.1415927/2</f>
        <v>-1.57079635</v>
      </c>
      <c r="D28" t="s">
        <v>0</v>
      </c>
      <c r="E28" t="s">
        <v>4</v>
      </c>
      <c r="F28">
        <f t="shared" si="24"/>
        <v>0.50525378012929156</v>
      </c>
      <c r="G28">
        <v>5</v>
      </c>
      <c r="H28">
        <v>99</v>
      </c>
      <c r="I28">
        <v>50</v>
      </c>
      <c r="J28">
        <f>SIGN(V28*G28)*SUMIF(abaqus!A:A,CONCATENATE("=",ABS(V28)),abaqus!B:B)</f>
        <v>7.0685835749999999</v>
      </c>
      <c r="K28">
        <f>SIGN(W28*G28)*SUMIF(abaqus!A:A,CONCATENATE("=",ABS(W28)),abaqus!B:B)</f>
        <v>0</v>
      </c>
      <c r="L28">
        <f t="shared" si="25"/>
        <v>7.0685835749999999</v>
      </c>
      <c r="M28">
        <f t="shared" si="26"/>
        <v>0</v>
      </c>
      <c r="N28">
        <f t="shared" si="27"/>
        <v>9.8960170049999991</v>
      </c>
      <c r="O28">
        <f t="shared" si="28"/>
        <v>2.4926994974811079</v>
      </c>
      <c r="P28">
        <v>-17.839069689343408</v>
      </c>
      <c r="Q28">
        <v>-17.246187691765137</v>
      </c>
      <c r="R28">
        <v>31.220873656900519</v>
      </c>
      <c r="S28">
        <f t="shared" si="29"/>
        <v>-204.62778095236308</v>
      </c>
      <c r="T28">
        <f t="shared" si="30"/>
        <v>0</v>
      </c>
      <c r="V28">
        <f t="shared" si="31"/>
        <v>50</v>
      </c>
      <c r="W28">
        <f t="shared" si="32"/>
        <v>0.5</v>
      </c>
    </row>
    <row r="29" spans="1:23" x14ac:dyDescent="0.55000000000000004">
      <c r="A29">
        <v>-20</v>
      </c>
      <c r="B29">
        <v>35</v>
      </c>
      <c r="C29">
        <f>3.1415927</f>
        <v>3.1415926999999999</v>
      </c>
      <c r="D29" t="s">
        <v>0</v>
      </c>
      <c r="E29" t="s">
        <v>4</v>
      </c>
      <c r="F29">
        <f t="shared" si="24"/>
        <v>0.50525378012929156</v>
      </c>
      <c r="G29">
        <v>5</v>
      </c>
      <c r="H29">
        <v>99</v>
      </c>
      <c r="I29">
        <v>50</v>
      </c>
      <c r="J29">
        <f>SIGN(V29*G29)*SUMIF(abaqus!A:A,CONCATENATE("=",ABS(V29)),abaqus!B:B)</f>
        <v>7.0685835749999999</v>
      </c>
      <c r="K29">
        <f>SIGN(W29*G29)*SUMIF(abaqus!A:A,CONCATENATE("=",ABS(W29)),abaqus!B:B)</f>
        <v>0</v>
      </c>
      <c r="L29">
        <f t="shared" si="25"/>
        <v>7.0685835749999999</v>
      </c>
      <c r="M29">
        <f t="shared" si="26"/>
        <v>0</v>
      </c>
      <c r="N29">
        <f t="shared" si="27"/>
        <v>9.8960170049999991</v>
      </c>
      <c r="O29">
        <f t="shared" si="28"/>
        <v>2.4926994974811079</v>
      </c>
      <c r="P29">
        <v>252.16093031065822</v>
      </c>
      <c r="Q29">
        <v>-23.779126151391846</v>
      </c>
      <c r="R29">
        <v>32.24618742867974</v>
      </c>
      <c r="S29">
        <f t="shared" si="29"/>
        <v>-204.62778095236308</v>
      </c>
      <c r="T29">
        <f t="shared" si="30"/>
        <v>0</v>
      </c>
      <c r="V29">
        <f t="shared" si="31"/>
        <v>50</v>
      </c>
      <c r="W29">
        <f t="shared" si="32"/>
        <v>0.5</v>
      </c>
    </row>
    <row r="30" spans="1:23" x14ac:dyDescent="0.55000000000000004">
      <c r="A30">
        <v>-20</v>
      </c>
      <c r="B30">
        <v>35</v>
      </c>
      <c r="C30">
        <v>0</v>
      </c>
      <c r="D30" t="s">
        <v>0</v>
      </c>
      <c r="E30" t="s">
        <v>4</v>
      </c>
      <c r="F30">
        <f t="shared" si="22"/>
        <v>0.33683585340364358</v>
      </c>
      <c r="G30">
        <v>5</v>
      </c>
      <c r="H30">
        <v>50</v>
      </c>
      <c r="I30">
        <v>50</v>
      </c>
      <c r="J30">
        <f>SIGN(V30*G30)*SUMIF(abaqus!A:A,CONCATENATE("=",ABS(V30)),abaqus!B:B)</f>
        <v>7.0685835749999999</v>
      </c>
      <c r="K30">
        <f>SIGN(W30*G30)*SUMIF(abaqus!A:A,CONCATENATE("=",ABS(W30)),abaqus!B:B)</f>
        <v>3.534291788</v>
      </c>
      <c r="L30">
        <f t="shared" si="4"/>
        <v>7.0685835749999999</v>
      </c>
      <c r="M30">
        <f t="shared" si="5"/>
        <v>3.534291788</v>
      </c>
      <c r="N30">
        <f t="shared" si="6"/>
        <v>14.844025508199998</v>
      </c>
      <c r="O30">
        <f t="shared" si="7"/>
        <v>1.2463497485642316</v>
      </c>
      <c r="P30">
        <v>24.053643432348188</v>
      </c>
      <c r="Q30">
        <v>-15.145581379014736</v>
      </c>
      <c r="R30">
        <v>36.034212896995484</v>
      </c>
      <c r="S30">
        <f t="shared" si="8"/>
        <v>-136.41852062847565</v>
      </c>
      <c r="T30">
        <f t="shared" si="23"/>
        <v>68.209260323887463</v>
      </c>
      <c r="V30">
        <f t="shared" si="10"/>
        <v>50</v>
      </c>
      <c r="W30">
        <f t="shared" si="11"/>
        <v>25</v>
      </c>
    </row>
    <row r="31" spans="1:23" x14ac:dyDescent="0.55000000000000004">
      <c r="A31">
        <v>-20</v>
      </c>
      <c r="B31">
        <v>35</v>
      </c>
      <c r="C31">
        <f>3.1415927/2</f>
        <v>1.57079635</v>
      </c>
      <c r="D31" t="s">
        <v>0</v>
      </c>
      <c r="E31" t="s">
        <v>4</v>
      </c>
      <c r="F31">
        <f t="shared" si="22"/>
        <v>0.33683585340364358</v>
      </c>
      <c r="G31">
        <v>5</v>
      </c>
      <c r="H31">
        <v>50</v>
      </c>
      <c r="I31">
        <v>50</v>
      </c>
      <c r="J31">
        <f>SIGN(V31*G31)*SUMIF(abaqus!A:A,CONCATENATE("=",ABS(V31)),abaqus!B:B)</f>
        <v>7.0685835749999999</v>
      </c>
      <c r="K31">
        <f>SIGN(W31*G31)*SUMIF(abaqus!A:A,CONCATENATE("=",ABS(W31)),abaqus!B:B)</f>
        <v>3.534291788</v>
      </c>
      <c r="L31">
        <f t="shared" si="4"/>
        <v>7.0685835749999999</v>
      </c>
      <c r="M31">
        <f t="shared" si="5"/>
        <v>3.534291788</v>
      </c>
      <c r="N31">
        <f t="shared" si="6"/>
        <v>14.844025508199998</v>
      </c>
      <c r="O31">
        <f t="shared" si="7"/>
        <v>1.2463497485642316</v>
      </c>
      <c r="P31">
        <v>114.05364343235195</v>
      </c>
      <c r="Q31">
        <v>-21.03421300964305</v>
      </c>
      <c r="R31">
        <v>39.854418596986264</v>
      </c>
      <c r="S31">
        <f t="shared" si="8"/>
        <v>-136.41852062847565</v>
      </c>
      <c r="T31">
        <f t="shared" si="23"/>
        <v>68.209260323887463</v>
      </c>
      <c r="V31">
        <f t="shared" si="10"/>
        <v>50</v>
      </c>
      <c r="W31">
        <f t="shared" si="11"/>
        <v>25</v>
      </c>
    </row>
    <row r="32" spans="1:23" x14ac:dyDescent="0.55000000000000004">
      <c r="A32">
        <v>-20</v>
      </c>
      <c r="B32">
        <v>35</v>
      </c>
      <c r="C32">
        <f>-3.1415927/2</f>
        <v>-1.57079635</v>
      </c>
      <c r="D32" t="s">
        <v>0</v>
      </c>
      <c r="E32" t="s">
        <v>4</v>
      </c>
      <c r="F32">
        <f t="shared" si="22"/>
        <v>0.33683585340364358</v>
      </c>
      <c r="G32">
        <v>5</v>
      </c>
      <c r="H32">
        <v>50</v>
      </c>
      <c r="I32">
        <v>50</v>
      </c>
      <c r="J32">
        <f>SIGN(V32*G32)*SUMIF(abaqus!A:A,CONCATENATE("=",ABS(V32)),abaqus!B:B)</f>
        <v>7.0685835749999999</v>
      </c>
      <c r="K32">
        <f>SIGN(W32*G32)*SUMIF(abaqus!A:A,CONCATENATE("=",ABS(W32)),abaqus!B:B)</f>
        <v>3.534291788</v>
      </c>
      <c r="L32">
        <f t="shared" si="4"/>
        <v>7.0685835749999999</v>
      </c>
      <c r="M32">
        <f t="shared" si="5"/>
        <v>3.534291788</v>
      </c>
      <c r="N32">
        <f t="shared" si="6"/>
        <v>14.844025508199998</v>
      </c>
      <c r="O32">
        <f t="shared" si="7"/>
        <v>1.2463497485642316</v>
      </c>
      <c r="P32">
        <v>-65.946356567648053</v>
      </c>
      <c r="Q32">
        <v>-18.965787215651591</v>
      </c>
      <c r="R32">
        <v>30.145581355015743</v>
      </c>
      <c r="S32">
        <f t="shared" si="8"/>
        <v>-136.41852062847565</v>
      </c>
      <c r="T32">
        <f t="shared" si="23"/>
        <v>68.209260323887463</v>
      </c>
      <c r="V32">
        <f t="shared" si="10"/>
        <v>50</v>
      </c>
      <c r="W32">
        <f t="shared" si="11"/>
        <v>25</v>
      </c>
    </row>
    <row r="33" spans="1:23" x14ac:dyDescent="0.55000000000000004">
      <c r="A33">
        <v>-20</v>
      </c>
      <c r="B33">
        <v>35</v>
      </c>
      <c r="C33">
        <f>3.1415927</f>
        <v>3.1415926999999999</v>
      </c>
      <c r="D33" t="s">
        <v>0</v>
      </c>
      <c r="E33" t="s">
        <v>4</v>
      </c>
      <c r="F33">
        <f t="shared" si="22"/>
        <v>0.33683585340364358</v>
      </c>
      <c r="G33">
        <v>5</v>
      </c>
      <c r="H33">
        <v>50</v>
      </c>
      <c r="I33">
        <v>50</v>
      </c>
      <c r="J33">
        <f>SIGN(V33*G33)*SUMIF(abaqus!A:A,CONCATENATE("=",ABS(V33)),abaqus!B:B)</f>
        <v>7.0685835749999999</v>
      </c>
      <c r="K33">
        <f>SIGN(W33*G33)*SUMIF(abaqus!A:A,CONCATENATE("=",ABS(W33)),abaqus!B:B)</f>
        <v>3.534291788</v>
      </c>
      <c r="L33">
        <f t="shared" si="4"/>
        <v>7.0685835749999999</v>
      </c>
      <c r="M33">
        <f t="shared" si="5"/>
        <v>3.534291788</v>
      </c>
      <c r="N33">
        <f t="shared" si="6"/>
        <v>14.844025508199998</v>
      </c>
      <c r="O33">
        <f t="shared" si="7"/>
        <v>1.2463497485642316</v>
      </c>
      <c r="P33">
        <v>204.05364343235195</v>
      </c>
      <c r="Q33">
        <v>-24.854418572987097</v>
      </c>
      <c r="R33">
        <v>33.965786877709689</v>
      </c>
      <c r="S33">
        <f t="shared" si="8"/>
        <v>-136.41852062847565</v>
      </c>
      <c r="T33">
        <f t="shared" si="23"/>
        <v>68.209260323887463</v>
      </c>
      <c r="V33">
        <f t="shared" si="10"/>
        <v>50</v>
      </c>
      <c r="W33">
        <f t="shared" si="11"/>
        <v>25</v>
      </c>
    </row>
    <row r="34" spans="1:23" x14ac:dyDescent="0.55000000000000004">
      <c r="A34">
        <v>0</v>
      </c>
      <c r="B34">
        <v>0</v>
      </c>
      <c r="C34">
        <v>0</v>
      </c>
      <c r="D34" t="s">
        <v>4</v>
      </c>
      <c r="E34" t="s">
        <v>0</v>
      </c>
      <c r="F34">
        <f>4*ABS(G34)/(ABS(L34)+ABS(M34))/5.6</f>
        <v>0.63999991075197238</v>
      </c>
      <c r="G34">
        <v>5.0667600000000004</v>
      </c>
      <c r="H34">
        <v>0</v>
      </c>
      <c r="I34">
        <v>20</v>
      </c>
      <c r="J34">
        <f>SIGN(V34*G34)*SUMIF(abaqus!A:A,CONCATENATE("=",ABS(V34)),abaqus!B:B)</f>
        <v>2.8274334300000001</v>
      </c>
      <c r="K34">
        <f>SIGN(W34*G34)*SUMIF(abaqus!A:A,CONCATENATE("=",ABS(W34)),abaqus!B:B)</f>
        <v>2.8274334300000001</v>
      </c>
      <c r="L34">
        <f t="shared" si="4"/>
        <v>-2.8274334300000001</v>
      </c>
      <c r="M34">
        <f t="shared" si="5"/>
        <v>-2.8274334300000001</v>
      </c>
      <c r="N34">
        <f t="shared" si="6"/>
        <v>-7.9168136039999997</v>
      </c>
      <c r="O34">
        <f>(L34-M34)/3.97/2*5.6/2</f>
        <v>0</v>
      </c>
      <c r="P34">
        <v>0</v>
      </c>
      <c r="Q34">
        <v>-5.0667600000001105</v>
      </c>
      <c r="R34">
        <v>0</v>
      </c>
      <c r="S34">
        <f>-L34*$F34/3.1415927*180</f>
        <v>103.67998554181953</v>
      </c>
      <c r="T34">
        <f>M34*$F34/3.1415927*180</f>
        <v>-103.67998554181953</v>
      </c>
      <c r="V34">
        <f t="shared" si="10"/>
        <v>20</v>
      </c>
      <c r="W34">
        <f t="shared" si="11"/>
        <v>20</v>
      </c>
    </row>
    <row r="35" spans="1:23" x14ac:dyDescent="0.55000000000000004">
      <c r="A35">
        <v>0</v>
      </c>
      <c r="B35">
        <v>0</v>
      </c>
      <c r="C35">
        <v>0</v>
      </c>
      <c r="D35" t="s">
        <v>4</v>
      </c>
      <c r="E35" t="s">
        <v>0</v>
      </c>
      <c r="F35">
        <f t="shared" ref="F35:F41" si="33">4*ABS(G35)/(ABS(L35)+ABS(M35))/5.6</f>
        <v>0.63999991075197238</v>
      </c>
      <c r="G35">
        <v>-5.0667600000000004</v>
      </c>
      <c r="H35">
        <v>0</v>
      </c>
      <c r="I35">
        <v>20</v>
      </c>
      <c r="J35">
        <f>SIGN(V35*G35)*SUMIF(abaqus!A:A,CONCATENATE("=",ABS(V35)),abaqus!B:B)</f>
        <v>-2.8274334300000001</v>
      </c>
      <c r="K35">
        <f>SIGN(W35*G35)*SUMIF(abaqus!A:A,CONCATENATE("=",ABS(W35)),abaqus!B:B)</f>
        <v>-2.8274334300000001</v>
      </c>
      <c r="L35">
        <f t="shared" si="4"/>
        <v>2.8274334300000001</v>
      </c>
      <c r="M35">
        <f t="shared" si="5"/>
        <v>2.8274334300000001</v>
      </c>
      <c r="N35">
        <f t="shared" ref="N35:N65" si="34">(L35+M35)*0.5*5.6/2</f>
        <v>7.9168136039999997</v>
      </c>
      <c r="O35">
        <f t="shared" ref="O35:O65" si="35">(L35-M35)/3.97/2*5.6/2</f>
        <v>0</v>
      </c>
      <c r="P35">
        <v>0</v>
      </c>
      <c r="Q35">
        <v>5.0667600000001105</v>
      </c>
      <c r="R35">
        <v>0</v>
      </c>
      <c r="S35">
        <f t="shared" ref="S35:S65" si="36">-L35*$F35/3.1415927*180</f>
        <v>-103.67998554181953</v>
      </c>
      <c r="T35">
        <f t="shared" ref="T35:T44" si="37">M35*$F35/3.1415927*180</f>
        <v>103.67998554181953</v>
      </c>
      <c r="V35">
        <f t="shared" si="10"/>
        <v>20</v>
      </c>
      <c r="W35">
        <f t="shared" si="11"/>
        <v>20</v>
      </c>
    </row>
    <row r="36" spans="1:23" x14ac:dyDescent="0.55000000000000004">
      <c r="A36">
        <v>0</v>
      </c>
      <c r="B36">
        <v>0</v>
      </c>
      <c r="C36">
        <v>0</v>
      </c>
      <c r="D36" t="s">
        <v>4</v>
      </c>
      <c r="E36" t="s">
        <v>0</v>
      </c>
      <c r="F36">
        <f t="shared" si="33"/>
        <v>0.63999991075197238</v>
      </c>
      <c r="G36">
        <v>-5.0667600000000004</v>
      </c>
      <c r="H36">
        <v>0</v>
      </c>
      <c r="I36">
        <v>-20</v>
      </c>
      <c r="J36">
        <f>SIGN(V36*G36)*SUMIF(abaqus!A:A,CONCATENATE("=",ABS(V36)),abaqus!B:B)</f>
        <v>2.8274334300000001</v>
      </c>
      <c r="K36">
        <f>SIGN(W36*G36)*SUMIF(abaqus!A:A,CONCATENATE("=",ABS(W36)),abaqus!B:B)</f>
        <v>2.8274334300000001</v>
      </c>
      <c r="L36">
        <f t="shared" si="4"/>
        <v>-2.8274334300000001</v>
      </c>
      <c r="M36">
        <f t="shared" si="5"/>
        <v>-2.8274334300000001</v>
      </c>
      <c r="N36">
        <f t="shared" si="34"/>
        <v>-7.9168136039999997</v>
      </c>
      <c r="O36">
        <f t="shared" si="35"/>
        <v>0</v>
      </c>
      <c r="P36">
        <v>0</v>
      </c>
      <c r="Q36">
        <v>-5.0667600000001105</v>
      </c>
      <c r="R36">
        <v>0</v>
      </c>
      <c r="S36">
        <f t="shared" si="36"/>
        <v>103.67998554181953</v>
      </c>
      <c r="T36">
        <f t="shared" si="37"/>
        <v>-103.67998554181953</v>
      </c>
      <c r="V36">
        <f t="shared" si="10"/>
        <v>-20</v>
      </c>
      <c r="W36">
        <f t="shared" si="11"/>
        <v>-20</v>
      </c>
    </row>
    <row r="37" spans="1:23" x14ac:dyDescent="0.55000000000000004">
      <c r="A37">
        <v>0</v>
      </c>
      <c r="B37">
        <v>0</v>
      </c>
      <c r="C37">
        <v>0</v>
      </c>
      <c r="D37" t="s">
        <v>4</v>
      </c>
      <c r="E37" t="s">
        <v>0</v>
      </c>
      <c r="F37">
        <f t="shared" si="33"/>
        <v>0.63999991075197238</v>
      </c>
      <c r="G37">
        <v>5.0667600000000004</v>
      </c>
      <c r="H37">
        <v>0</v>
      </c>
      <c r="I37">
        <v>-20</v>
      </c>
      <c r="J37">
        <f>SIGN(V37*G37)*SUMIF(abaqus!A:A,CONCATENATE("=",ABS(V37)),abaqus!B:B)</f>
        <v>-2.8274334300000001</v>
      </c>
      <c r="K37">
        <f>SIGN(W37*G37)*SUMIF(abaqus!A:A,CONCATENATE("=",ABS(W37)),abaqus!B:B)</f>
        <v>-2.8274334300000001</v>
      </c>
      <c r="L37">
        <f t="shared" si="4"/>
        <v>2.8274334300000001</v>
      </c>
      <c r="M37">
        <f t="shared" si="5"/>
        <v>2.8274334300000001</v>
      </c>
      <c r="N37">
        <f t="shared" si="34"/>
        <v>7.9168136039999997</v>
      </c>
      <c r="O37">
        <f t="shared" si="35"/>
        <v>0</v>
      </c>
      <c r="P37">
        <v>0</v>
      </c>
      <c r="Q37">
        <v>5.0667600000001105</v>
      </c>
      <c r="R37">
        <v>0</v>
      </c>
      <c r="S37">
        <f t="shared" si="36"/>
        <v>-103.67998554181953</v>
      </c>
      <c r="T37">
        <f t="shared" si="37"/>
        <v>103.67998554181953</v>
      </c>
      <c r="V37">
        <f t="shared" si="10"/>
        <v>-20</v>
      </c>
      <c r="W37">
        <f t="shared" si="11"/>
        <v>-20</v>
      </c>
    </row>
    <row r="38" spans="1:23" x14ac:dyDescent="0.55000000000000004">
      <c r="A38">
        <v>0</v>
      </c>
      <c r="B38">
        <v>0</v>
      </c>
      <c r="C38">
        <v>0</v>
      </c>
      <c r="D38" t="s">
        <v>4</v>
      </c>
      <c r="E38" t="s">
        <v>0</v>
      </c>
      <c r="F38">
        <f t="shared" si="33"/>
        <v>0.63999991075197238</v>
      </c>
      <c r="G38">
        <f>2*G34</f>
        <v>10.133520000000001</v>
      </c>
      <c r="H38">
        <v>0</v>
      </c>
      <c r="I38">
        <v>40</v>
      </c>
      <c r="J38">
        <f>SIGN(V38*G38)*SUMIF(abaqus!A:A,CONCATENATE("=",ABS(V38)),abaqus!B:B)</f>
        <v>5.6548668600000003</v>
      </c>
      <c r="K38">
        <f>SIGN(W38*G38)*SUMIF(abaqus!A:A,CONCATENATE("=",ABS(W38)),abaqus!B:B)</f>
        <v>5.6548668600000003</v>
      </c>
      <c r="L38">
        <f t="shared" si="4"/>
        <v>-5.6548668600000003</v>
      </c>
      <c r="M38">
        <f t="shared" si="5"/>
        <v>-5.6548668600000003</v>
      </c>
      <c r="N38">
        <f t="shared" si="34"/>
        <v>-15.833627207999999</v>
      </c>
      <c r="O38">
        <f t="shared" si="35"/>
        <v>0</v>
      </c>
      <c r="P38">
        <v>0</v>
      </c>
      <c r="Q38">
        <v>-10.133520000000221</v>
      </c>
      <c r="R38">
        <v>0</v>
      </c>
      <c r="S38">
        <f t="shared" si="36"/>
        <v>207.35997108363907</v>
      </c>
      <c r="T38">
        <f t="shared" si="37"/>
        <v>-207.35997108363907</v>
      </c>
      <c r="V38">
        <f t="shared" si="10"/>
        <v>40</v>
      </c>
      <c r="W38">
        <f t="shared" si="11"/>
        <v>40</v>
      </c>
    </row>
    <row r="39" spans="1:23" x14ac:dyDescent="0.55000000000000004">
      <c r="A39">
        <v>0</v>
      </c>
      <c r="B39">
        <v>0</v>
      </c>
      <c r="C39">
        <v>0</v>
      </c>
      <c r="D39" t="s">
        <v>4</v>
      </c>
      <c r="E39" t="s">
        <v>0</v>
      </c>
      <c r="F39">
        <f t="shared" si="33"/>
        <v>0.63999991075197238</v>
      </c>
      <c r="G39">
        <f t="shared" ref="G39:G41" si="38">2*G35</f>
        <v>-10.133520000000001</v>
      </c>
      <c r="H39">
        <v>0</v>
      </c>
      <c r="I39">
        <v>40</v>
      </c>
      <c r="J39">
        <f>SIGN(V39*G39)*SUMIF(abaqus!A:A,CONCATENATE("=",ABS(V39)),abaqus!B:B)</f>
        <v>-5.6548668600000003</v>
      </c>
      <c r="K39">
        <f>SIGN(W39*G39)*SUMIF(abaqus!A:A,CONCATENATE("=",ABS(W39)),abaqus!B:B)</f>
        <v>-5.6548668600000003</v>
      </c>
      <c r="L39">
        <f t="shared" si="4"/>
        <v>5.6548668600000003</v>
      </c>
      <c r="M39">
        <f t="shared" si="5"/>
        <v>5.6548668600000003</v>
      </c>
      <c r="N39">
        <f t="shared" si="34"/>
        <v>15.833627207999999</v>
      </c>
      <c r="O39">
        <f t="shared" si="35"/>
        <v>0</v>
      </c>
      <c r="P39">
        <v>0</v>
      </c>
      <c r="Q39">
        <v>10.133520000000221</v>
      </c>
      <c r="R39">
        <v>0</v>
      </c>
      <c r="S39">
        <f t="shared" si="36"/>
        <v>-207.35997108363907</v>
      </c>
      <c r="T39">
        <f t="shared" si="37"/>
        <v>207.35997108363907</v>
      </c>
      <c r="V39">
        <f t="shared" si="10"/>
        <v>40</v>
      </c>
      <c r="W39">
        <f t="shared" si="11"/>
        <v>40</v>
      </c>
    </row>
    <row r="40" spans="1:23" x14ac:dyDescent="0.55000000000000004">
      <c r="A40">
        <v>0</v>
      </c>
      <c r="B40">
        <v>0</v>
      </c>
      <c r="C40">
        <v>0</v>
      </c>
      <c r="D40" t="s">
        <v>4</v>
      </c>
      <c r="E40" t="s">
        <v>0</v>
      </c>
      <c r="F40">
        <f t="shared" si="33"/>
        <v>1.2799998215039448</v>
      </c>
      <c r="G40">
        <f t="shared" si="38"/>
        <v>-10.133520000000001</v>
      </c>
      <c r="H40">
        <v>0</v>
      </c>
      <c r="I40">
        <v>-20</v>
      </c>
      <c r="J40">
        <f>SIGN(V40*G40)*SUMIF(abaqus!A:A,CONCATENATE("=",ABS(V40)),abaqus!B:B)</f>
        <v>2.8274334300000001</v>
      </c>
      <c r="K40">
        <f>SIGN(W40*G40)*SUMIF(abaqus!A:A,CONCATENATE("=",ABS(W40)),abaqus!B:B)</f>
        <v>2.8274334300000001</v>
      </c>
      <c r="L40">
        <f t="shared" si="4"/>
        <v>-2.8274334300000001</v>
      </c>
      <c r="M40">
        <f t="shared" si="5"/>
        <v>-2.8274334300000001</v>
      </c>
      <c r="N40">
        <f t="shared" si="34"/>
        <v>-7.9168136039999997</v>
      </c>
      <c r="O40">
        <f t="shared" si="35"/>
        <v>0</v>
      </c>
      <c r="P40">
        <v>0</v>
      </c>
      <c r="Q40">
        <v>-10.133520000001136</v>
      </c>
      <c r="R40">
        <v>0</v>
      </c>
      <c r="S40">
        <f t="shared" si="36"/>
        <v>207.35997108363907</v>
      </c>
      <c r="T40">
        <f t="shared" si="37"/>
        <v>-207.35997108363907</v>
      </c>
      <c r="V40">
        <f t="shared" si="10"/>
        <v>-20</v>
      </c>
      <c r="W40">
        <f t="shared" si="11"/>
        <v>-20</v>
      </c>
    </row>
    <row r="41" spans="1:23" x14ac:dyDescent="0.55000000000000004">
      <c r="A41">
        <v>0</v>
      </c>
      <c r="B41">
        <v>0</v>
      </c>
      <c r="C41">
        <v>0</v>
      </c>
      <c r="D41" t="s">
        <v>4</v>
      </c>
      <c r="E41" t="s">
        <v>0</v>
      </c>
      <c r="F41">
        <f t="shared" si="33"/>
        <v>1.2799998215039448</v>
      </c>
      <c r="G41">
        <f t="shared" si="38"/>
        <v>10.133520000000001</v>
      </c>
      <c r="H41">
        <v>0</v>
      </c>
      <c r="I41">
        <v>-20</v>
      </c>
      <c r="J41">
        <f>SIGN(V41*G41)*SUMIF(abaqus!A:A,CONCATENATE("=",ABS(V41)),abaqus!B:B)</f>
        <v>-2.8274334300000001</v>
      </c>
      <c r="K41">
        <f>SIGN(W41*G41)*SUMIF(abaqus!A:A,CONCATENATE("=",ABS(W41)),abaqus!B:B)</f>
        <v>-2.8274334300000001</v>
      </c>
      <c r="L41">
        <f t="shared" si="4"/>
        <v>2.8274334300000001</v>
      </c>
      <c r="M41">
        <f t="shared" si="5"/>
        <v>2.8274334300000001</v>
      </c>
      <c r="N41">
        <f t="shared" si="34"/>
        <v>7.9168136039999997</v>
      </c>
      <c r="O41">
        <f t="shared" si="35"/>
        <v>0</v>
      </c>
      <c r="P41">
        <v>0</v>
      </c>
      <c r="Q41">
        <v>10.133520000001136</v>
      </c>
      <c r="R41">
        <v>0</v>
      </c>
      <c r="S41">
        <f t="shared" si="36"/>
        <v>-207.35997108363907</v>
      </c>
      <c r="T41">
        <f t="shared" si="37"/>
        <v>207.35997108363907</v>
      </c>
      <c r="V41">
        <f t="shared" si="10"/>
        <v>-20</v>
      </c>
      <c r="W41">
        <f t="shared" si="11"/>
        <v>-20</v>
      </c>
    </row>
    <row r="42" spans="1:23" x14ac:dyDescent="0.55000000000000004">
      <c r="A42">
        <v>0</v>
      </c>
      <c r="B42">
        <v>0</v>
      </c>
      <c r="C42">
        <v>0</v>
      </c>
      <c r="D42" t="s">
        <v>4</v>
      </c>
      <c r="E42" t="s">
        <v>0</v>
      </c>
      <c r="F42">
        <f>4*ABS(G42)/(ABS(L42)+ABS(M42))/5.6</f>
        <v>0.31507936000000003</v>
      </c>
      <c r="G42">
        <v>6.2360614089690332</v>
      </c>
      <c r="H42">
        <v>100</v>
      </c>
      <c r="I42">
        <v>50</v>
      </c>
      <c r="J42">
        <f>SIGN(V42*G42)*SUMIF(abaqus!A:A,CONCATENATE("=",ABS(V42)),abaqus!B:B)</f>
        <v>7.0685835749999999</v>
      </c>
      <c r="K42">
        <f>SIGN(W42*G42)*SUMIF(abaqus!A:A,CONCATENATE("=",ABS(W42)),abaqus!B:B)</f>
        <v>-7.0685835749999999</v>
      </c>
      <c r="L42">
        <f t="shared" si="4"/>
        <v>7.0685835749999999</v>
      </c>
      <c r="M42">
        <f t="shared" si="5"/>
        <v>-7.0685835749999999</v>
      </c>
      <c r="N42">
        <f t="shared" si="34"/>
        <v>0</v>
      </c>
      <c r="O42">
        <f t="shared" si="35"/>
        <v>4.9853989949622157</v>
      </c>
      <c r="P42">
        <v>89.999998549119482</v>
      </c>
      <c r="Q42">
        <v>0</v>
      </c>
      <c r="R42">
        <v>0</v>
      </c>
      <c r="S42">
        <f t="shared" si="36"/>
        <v>-127.60714080000002</v>
      </c>
      <c r="T42">
        <f t="shared" si="37"/>
        <v>-127.60714080000002</v>
      </c>
      <c r="V42">
        <f t="shared" si="10"/>
        <v>50</v>
      </c>
      <c r="W42">
        <f t="shared" si="11"/>
        <v>-50</v>
      </c>
    </row>
    <row r="43" spans="1:23" x14ac:dyDescent="0.55000000000000004">
      <c r="A43">
        <v>0</v>
      </c>
      <c r="B43">
        <v>0</v>
      </c>
      <c r="C43">
        <v>0</v>
      </c>
      <c r="D43" t="s">
        <v>4</v>
      </c>
      <c r="E43" t="s">
        <v>0</v>
      </c>
      <c r="F43">
        <f>4*ABS(G43)/(ABS(L43)+ABS(M43))/5.6</f>
        <v>0.31507936000000003</v>
      </c>
      <c r="G43">
        <v>6.2360614089690332</v>
      </c>
      <c r="H43">
        <v>-100</v>
      </c>
      <c r="I43">
        <v>50</v>
      </c>
      <c r="J43">
        <f>SIGN(V43*G43)*SUMIF(abaqus!A:A,CONCATENATE("=",ABS(V43)),abaqus!B:B)</f>
        <v>-7.0685835749999999</v>
      </c>
      <c r="K43">
        <f>SIGN(W43*G43)*SUMIF(abaqus!A:A,CONCATENATE("=",ABS(W43)),abaqus!B:B)</f>
        <v>7.0685835749999999</v>
      </c>
      <c r="L43">
        <f t="shared" si="4"/>
        <v>-7.0685835749999999</v>
      </c>
      <c r="M43">
        <f t="shared" si="5"/>
        <v>7.0685835749999999</v>
      </c>
      <c r="N43">
        <f t="shared" si="34"/>
        <v>0</v>
      </c>
      <c r="O43">
        <f t="shared" si="35"/>
        <v>-4.9853989949622157</v>
      </c>
      <c r="P43">
        <v>-89.999998549119482</v>
      </c>
      <c r="Q43">
        <v>0</v>
      </c>
      <c r="R43">
        <v>0</v>
      </c>
      <c r="S43">
        <f t="shared" si="36"/>
        <v>127.60714080000002</v>
      </c>
      <c r="T43">
        <f t="shared" si="37"/>
        <v>127.60714080000002</v>
      </c>
      <c r="V43">
        <f t="shared" si="10"/>
        <v>-50</v>
      </c>
      <c r="W43">
        <f t="shared" si="11"/>
        <v>50</v>
      </c>
    </row>
    <row r="44" spans="1:23" x14ac:dyDescent="0.55000000000000004">
      <c r="A44">
        <v>0</v>
      </c>
      <c r="B44">
        <v>0</v>
      </c>
      <c r="C44">
        <v>0</v>
      </c>
      <c r="D44" t="s">
        <v>4</v>
      </c>
      <c r="E44" t="s">
        <v>0</v>
      </c>
      <c r="F44">
        <f t="shared" ref="F44:F65" si="39">4*ABS(G44)/(ABS(L44)+ABS(M44))/5.6</f>
        <v>0.63015872000000006</v>
      </c>
      <c r="G44">
        <f>-2*G42</f>
        <v>-12.472122817938066</v>
      </c>
      <c r="H44">
        <v>100</v>
      </c>
      <c r="I44">
        <v>50</v>
      </c>
      <c r="J44">
        <f>SIGN(V44*G44)*SUMIF(abaqus!A:A,CONCATENATE("=",ABS(V44)),abaqus!B:B)</f>
        <v>-7.0685835749999999</v>
      </c>
      <c r="K44">
        <f>SIGN(W44*G44)*SUMIF(abaqus!A:A,CONCATENATE("=",ABS(W44)),abaqus!B:B)</f>
        <v>7.0685835749999999</v>
      </c>
      <c r="L44">
        <f t="shared" si="4"/>
        <v>-7.0685835749999999</v>
      </c>
      <c r="M44">
        <f t="shared" si="5"/>
        <v>7.0685835749999999</v>
      </c>
      <c r="N44">
        <f t="shared" si="34"/>
        <v>0</v>
      </c>
      <c r="O44">
        <f t="shared" si="35"/>
        <v>-4.9853989949622157</v>
      </c>
      <c r="P44">
        <v>-179.99999709823979</v>
      </c>
      <c r="Q44">
        <v>0</v>
      </c>
      <c r="R44">
        <v>0</v>
      </c>
      <c r="S44">
        <f t="shared" si="36"/>
        <v>255.21428160000005</v>
      </c>
      <c r="T44">
        <f t="shared" si="37"/>
        <v>255.21428160000005</v>
      </c>
      <c r="V44">
        <f t="shared" si="10"/>
        <v>50</v>
      </c>
      <c r="W44">
        <f t="shared" si="11"/>
        <v>-50</v>
      </c>
    </row>
    <row r="45" spans="1:23" x14ac:dyDescent="0.55000000000000004">
      <c r="A45">
        <v>0</v>
      </c>
      <c r="B45">
        <v>0</v>
      </c>
      <c r="C45">
        <v>0</v>
      </c>
      <c r="D45" t="s">
        <v>4</v>
      </c>
      <c r="E45" t="s">
        <v>0</v>
      </c>
      <c r="F45">
        <f t="shared" si="39"/>
        <v>1.5753968</v>
      </c>
      <c r="G45">
        <f>5*G42</f>
        <v>31.180307044845165</v>
      </c>
      <c r="H45">
        <v>100</v>
      </c>
      <c r="I45">
        <v>-50</v>
      </c>
      <c r="J45">
        <f>SIGN(V45*G45)*SUMIF(abaqus!A:A,CONCATENATE("=",ABS(V45)),abaqus!B:B)</f>
        <v>-7.0685835749999999</v>
      </c>
      <c r="K45">
        <f>SIGN(W45*G45)*SUMIF(abaqus!A:A,CONCATENATE("=",ABS(W45)),abaqus!B:B)</f>
        <v>7.0685835749999999</v>
      </c>
      <c r="L45">
        <f t="shared" si="4"/>
        <v>-7.0685835749999999</v>
      </c>
      <c r="M45">
        <f t="shared" si="5"/>
        <v>7.0685835749999999</v>
      </c>
      <c r="N45">
        <f t="shared" si="34"/>
        <v>0</v>
      </c>
      <c r="O45">
        <f t="shared" si="35"/>
        <v>-4.9853989949622157</v>
      </c>
      <c r="P45">
        <v>-449.99999274565096</v>
      </c>
      <c r="Q45">
        <v>0</v>
      </c>
      <c r="R45">
        <v>0</v>
      </c>
      <c r="S45">
        <f t="shared" si="36"/>
        <v>638.03570400000001</v>
      </c>
      <c r="T45">
        <f>M45*$F45/3.1415927*180</f>
        <v>638.03570400000001</v>
      </c>
      <c r="V45">
        <f t="shared" si="10"/>
        <v>-50</v>
      </c>
      <c r="W45">
        <f t="shared" si="11"/>
        <v>50</v>
      </c>
    </row>
    <row r="46" spans="1:23" x14ac:dyDescent="0.55000000000000004">
      <c r="A46">
        <v>0</v>
      </c>
      <c r="B46">
        <v>0</v>
      </c>
      <c r="C46">
        <v>0</v>
      </c>
      <c r="D46" t="s">
        <v>4</v>
      </c>
      <c r="E46" t="s">
        <v>0</v>
      </c>
      <c r="F46">
        <f>4*ABS(G46)/(ABS(L46)+ABS(M46))/5.6</f>
        <v>0.63015872000000006</v>
      </c>
      <c r="G46">
        <v>6.2360614089690332</v>
      </c>
      <c r="H46">
        <v>99</v>
      </c>
      <c r="I46">
        <v>50</v>
      </c>
      <c r="J46">
        <f>SIGN(V46*G46)*SUMIF(abaqus!A:A,CONCATENATE("=",ABS(V46)),abaqus!B:B)</f>
        <v>7.0685835749999999</v>
      </c>
      <c r="K46">
        <f>SIGN(W46*G46)*SUMIF(abaqus!A:A,CONCATENATE("=",ABS(W46)),abaqus!B:B)</f>
        <v>0</v>
      </c>
      <c r="L46">
        <f t="shared" ref="L46:L49" si="40">IF(D46="E",J46,0)+IF(E46="E",-K46,0)</f>
        <v>0</v>
      </c>
      <c r="M46">
        <f t="shared" ref="M46:M49" si="41">IF(D46="F",-J46,0)+IF(E46="F",K46,0)</f>
        <v>-7.0685835749999999</v>
      </c>
      <c r="N46">
        <f t="shared" ref="N46:N49" si="42">(L46+M46)*0.5*5.6/2</f>
        <v>-9.8960170049999991</v>
      </c>
      <c r="O46">
        <f t="shared" ref="O46:O49" si="43">(L46-M46)/3.97/2*5.6/2</f>
        <v>2.4926994974811079</v>
      </c>
      <c r="P46">
        <v>89.999998549119894</v>
      </c>
      <c r="Q46">
        <v>-3.970000567672217</v>
      </c>
      <c r="R46">
        <v>-3.9700002483660572</v>
      </c>
      <c r="S46">
        <f t="shared" ref="S46:S49" si="44">-L46*$F46/3.1415927*180</f>
        <v>0</v>
      </c>
      <c r="T46">
        <f t="shared" ref="T46:T48" si="45">M46*$F46/3.1415927*180</f>
        <v>-255.21428160000005</v>
      </c>
      <c r="V46">
        <f t="shared" ref="V46:V49" si="46">IF(H46=100,I46,IF(H46=-100,-I46,IF(H46&lt;0,I46*(100+H46)/100,I46)))</f>
        <v>50</v>
      </c>
      <c r="W46">
        <f t="shared" ref="W46:W49" si="47">IF(H46=100,-I46,IF(H46=-100,I46,IF(H46&gt;0,I46*(100-H46)/100,I46)))</f>
        <v>0.5</v>
      </c>
    </row>
    <row r="47" spans="1:23" x14ac:dyDescent="0.55000000000000004">
      <c r="A47">
        <v>0</v>
      </c>
      <c r="B47">
        <v>0</v>
      </c>
      <c r="C47">
        <v>0</v>
      </c>
      <c r="D47" t="s">
        <v>4</v>
      </c>
      <c r="E47" t="s">
        <v>0</v>
      </c>
      <c r="F47">
        <f>4*ABS(G47)/(ABS(L47)+ABS(M47))/5.6</f>
        <v>0.63015872000000006</v>
      </c>
      <c r="G47">
        <v>6.2360614089690332</v>
      </c>
      <c r="H47">
        <v>-99</v>
      </c>
      <c r="I47">
        <v>50</v>
      </c>
      <c r="J47">
        <f>SIGN(V47*G47)*SUMIF(abaqus!A:A,CONCATENATE("=",ABS(V47)),abaqus!B:B)</f>
        <v>0</v>
      </c>
      <c r="K47">
        <f>SIGN(W47*G47)*SUMIF(abaqus!A:A,CONCATENATE("=",ABS(W47)),abaqus!B:B)</f>
        <v>7.0685835749999999</v>
      </c>
      <c r="L47">
        <f t="shared" si="40"/>
        <v>-7.0685835749999999</v>
      </c>
      <c r="M47">
        <f t="shared" si="41"/>
        <v>0</v>
      </c>
      <c r="N47">
        <f t="shared" si="42"/>
        <v>-9.8960170049999991</v>
      </c>
      <c r="O47">
        <f t="shared" si="43"/>
        <v>-2.4926994974811079</v>
      </c>
      <c r="P47">
        <v>-89.999998549119894</v>
      </c>
      <c r="Q47">
        <v>-3.970000567672217</v>
      </c>
      <c r="R47">
        <v>3.9700002483660572</v>
      </c>
      <c r="S47">
        <f t="shared" si="44"/>
        <v>255.21428160000005</v>
      </c>
      <c r="T47">
        <f t="shared" si="45"/>
        <v>0</v>
      </c>
      <c r="V47">
        <f t="shared" si="46"/>
        <v>0.5</v>
      </c>
      <c r="W47">
        <f t="shared" si="47"/>
        <v>50</v>
      </c>
    </row>
    <row r="48" spans="1:23" x14ac:dyDescent="0.55000000000000004">
      <c r="A48">
        <v>0</v>
      </c>
      <c r="B48">
        <v>0</v>
      </c>
      <c r="C48">
        <v>0</v>
      </c>
      <c r="D48" t="s">
        <v>4</v>
      </c>
      <c r="E48" t="s">
        <v>0</v>
      </c>
      <c r="F48">
        <f t="shared" ref="F48:F49" si="48">4*ABS(G48)/(ABS(L48)+ABS(M48))/5.6</f>
        <v>1.2603174400000001</v>
      </c>
      <c r="G48">
        <f>-2*G46</f>
        <v>-12.472122817938066</v>
      </c>
      <c r="H48">
        <v>99</v>
      </c>
      <c r="I48">
        <v>50</v>
      </c>
      <c r="J48">
        <f>SIGN(V48*G48)*SUMIF(abaqus!A:A,CONCATENATE("=",ABS(V48)),abaqus!B:B)</f>
        <v>-7.0685835749999999</v>
      </c>
      <c r="K48">
        <f>SIGN(W48*G48)*SUMIF(abaqus!A:A,CONCATENATE("=",ABS(W48)),abaqus!B:B)</f>
        <v>0</v>
      </c>
      <c r="L48">
        <f t="shared" si="40"/>
        <v>0</v>
      </c>
      <c r="M48">
        <f t="shared" si="41"/>
        <v>7.0685835749999999</v>
      </c>
      <c r="N48">
        <f t="shared" si="42"/>
        <v>9.8960170049999991</v>
      </c>
      <c r="O48">
        <f t="shared" si="43"/>
        <v>-2.4926994974811079</v>
      </c>
      <c r="P48">
        <v>-179.99999709825551</v>
      </c>
      <c r="Q48">
        <v>1.7671516929895076E-8</v>
      </c>
      <c r="R48">
        <v>-7.940001756776164</v>
      </c>
      <c r="S48">
        <f t="shared" si="44"/>
        <v>0</v>
      </c>
      <c r="T48">
        <f t="shared" si="45"/>
        <v>510.4285632000001</v>
      </c>
      <c r="V48">
        <f t="shared" si="46"/>
        <v>50</v>
      </c>
      <c r="W48">
        <f t="shared" si="47"/>
        <v>0.5</v>
      </c>
    </row>
    <row r="49" spans="1:23" x14ac:dyDescent="0.55000000000000004">
      <c r="A49">
        <v>0</v>
      </c>
      <c r="B49">
        <v>0</v>
      </c>
      <c r="C49">
        <v>0</v>
      </c>
      <c r="D49" t="s">
        <v>4</v>
      </c>
      <c r="E49" t="s">
        <v>0</v>
      </c>
      <c r="F49">
        <f t="shared" si="48"/>
        <v>3.1507936000000001</v>
      </c>
      <c r="G49">
        <f>5*G46</f>
        <v>31.180307044845165</v>
      </c>
      <c r="H49">
        <v>99</v>
      </c>
      <c r="I49">
        <v>-50</v>
      </c>
      <c r="J49">
        <f>SIGN(V49*G49)*SUMIF(abaqus!A:A,CONCATENATE("=",ABS(V49)),abaqus!B:B)</f>
        <v>-7.0685835749999999</v>
      </c>
      <c r="K49">
        <f>SIGN(W49*G49)*SUMIF(abaqus!A:A,CONCATENATE("=",ABS(W49)),abaqus!B:B)</f>
        <v>0</v>
      </c>
      <c r="L49">
        <f t="shared" si="40"/>
        <v>0</v>
      </c>
      <c r="M49">
        <f t="shared" si="41"/>
        <v>7.0685835749999999</v>
      </c>
      <c r="N49">
        <f t="shared" si="42"/>
        <v>9.8960170049999991</v>
      </c>
      <c r="O49">
        <f t="shared" si="43"/>
        <v>-2.4926994974811079</v>
      </c>
      <c r="P49">
        <v>-449.99999274552385</v>
      </c>
      <c r="Q49">
        <v>3.9700013201523001</v>
      </c>
      <c r="R49">
        <v>-3.9700002142106094</v>
      </c>
      <c r="S49">
        <f t="shared" si="44"/>
        <v>0</v>
      </c>
      <c r="T49">
        <f>M49*$F49/3.1415927*180</f>
        <v>1276.071408</v>
      </c>
      <c r="V49">
        <f t="shared" si="46"/>
        <v>-50</v>
      </c>
      <c r="W49">
        <f t="shared" si="47"/>
        <v>-0.5</v>
      </c>
    </row>
    <row r="50" spans="1:23" x14ac:dyDescent="0.55000000000000004">
      <c r="A50">
        <v>-20</v>
      </c>
      <c r="B50">
        <v>35</v>
      </c>
      <c r="C50">
        <v>0</v>
      </c>
      <c r="D50" t="s">
        <v>4</v>
      </c>
      <c r="E50" t="s">
        <v>0</v>
      </c>
      <c r="F50">
        <f t="shared" si="39"/>
        <v>0.63156722516161445</v>
      </c>
      <c r="G50">
        <v>5</v>
      </c>
      <c r="H50">
        <v>0</v>
      </c>
      <c r="I50">
        <v>20</v>
      </c>
      <c r="J50">
        <f>SIGN(V50*G50)*SUMIF(abaqus!A:A,CONCATENATE("=",ABS(V50)),abaqus!B:B)</f>
        <v>2.8274334300000001</v>
      </c>
      <c r="K50">
        <f>SIGN(W50*G50)*SUMIF(abaqus!A:A,CONCATENATE("=",ABS(W50)),abaqus!B:B)</f>
        <v>2.8274334300000001</v>
      </c>
      <c r="L50">
        <f t="shared" si="4"/>
        <v>-2.8274334300000001</v>
      </c>
      <c r="M50">
        <f t="shared" si="5"/>
        <v>-2.8274334300000001</v>
      </c>
      <c r="N50">
        <f t="shared" si="34"/>
        <v>-7.9168136039999997</v>
      </c>
      <c r="O50">
        <f t="shared" si="35"/>
        <v>0</v>
      </c>
      <c r="P50">
        <v>0</v>
      </c>
      <c r="Q50">
        <v>-24.99999999999898</v>
      </c>
      <c r="R50">
        <v>35</v>
      </c>
      <c r="S50">
        <f t="shared" si="36"/>
        <v>102.31389047618156</v>
      </c>
      <c r="T50">
        <f t="shared" ref="T50:T65" si="49">M50*$F50/3.1415927*180</f>
        <v>-102.31389047618156</v>
      </c>
      <c r="V50">
        <f t="shared" si="10"/>
        <v>20</v>
      </c>
      <c r="W50">
        <f t="shared" si="11"/>
        <v>20</v>
      </c>
    </row>
    <row r="51" spans="1:23" x14ac:dyDescent="0.55000000000000004">
      <c r="A51">
        <v>-20</v>
      </c>
      <c r="B51">
        <v>35</v>
      </c>
      <c r="C51">
        <f>3.1415927/2</f>
        <v>1.57079635</v>
      </c>
      <c r="D51" t="s">
        <v>4</v>
      </c>
      <c r="E51" t="s">
        <v>0</v>
      </c>
      <c r="F51">
        <f t="shared" si="39"/>
        <v>0.63156722516161445</v>
      </c>
      <c r="G51">
        <v>5</v>
      </c>
      <c r="H51">
        <v>0</v>
      </c>
      <c r="I51">
        <v>20</v>
      </c>
      <c r="J51">
        <f>SIGN(V51*G51)*SUMIF(abaqus!A:A,CONCATENATE("=",ABS(V51)),abaqus!B:B)</f>
        <v>2.8274334300000001</v>
      </c>
      <c r="K51">
        <f>SIGN(W51*G51)*SUMIF(abaqus!A:A,CONCATENATE("=",ABS(W51)),abaqus!B:B)</f>
        <v>2.8274334300000001</v>
      </c>
      <c r="L51">
        <f t="shared" si="4"/>
        <v>-2.8274334300000001</v>
      </c>
      <c r="M51">
        <f t="shared" si="5"/>
        <v>-2.8274334300000001</v>
      </c>
      <c r="N51">
        <f t="shared" si="34"/>
        <v>-7.9168136039999997</v>
      </c>
      <c r="O51">
        <f t="shared" si="35"/>
        <v>0</v>
      </c>
      <c r="P51">
        <v>90</v>
      </c>
      <c r="Q51">
        <v>-19.999999883974265</v>
      </c>
      <c r="R51">
        <v>30.00000000000102</v>
      </c>
      <c r="S51">
        <f t="shared" si="36"/>
        <v>102.31389047618156</v>
      </c>
      <c r="T51">
        <f t="shared" si="49"/>
        <v>-102.31389047618156</v>
      </c>
      <c r="V51">
        <f t="shared" si="10"/>
        <v>20</v>
      </c>
      <c r="W51">
        <f t="shared" si="11"/>
        <v>20</v>
      </c>
    </row>
    <row r="52" spans="1:23" x14ac:dyDescent="0.55000000000000004">
      <c r="A52">
        <v>-20</v>
      </c>
      <c r="B52">
        <v>35</v>
      </c>
      <c r="C52">
        <f>-3.1415927/2</f>
        <v>-1.57079635</v>
      </c>
      <c r="D52" t="s">
        <v>4</v>
      </c>
      <c r="E52" t="s">
        <v>0</v>
      </c>
      <c r="F52">
        <f t="shared" si="39"/>
        <v>0.63156722516161445</v>
      </c>
      <c r="G52">
        <v>5</v>
      </c>
      <c r="H52">
        <v>0</v>
      </c>
      <c r="I52">
        <v>20</v>
      </c>
      <c r="J52">
        <f>SIGN(V52*G52)*SUMIF(abaqus!A:A,CONCATENATE("=",ABS(V52)),abaqus!B:B)</f>
        <v>2.8274334300000001</v>
      </c>
      <c r="K52">
        <f>SIGN(W52*G52)*SUMIF(abaqus!A:A,CONCATENATE("=",ABS(W52)),abaqus!B:B)</f>
        <v>2.8274334300000001</v>
      </c>
      <c r="L52">
        <f t="shared" si="4"/>
        <v>-2.8274334300000001</v>
      </c>
      <c r="M52">
        <f t="shared" si="5"/>
        <v>-2.8274334300000001</v>
      </c>
      <c r="N52">
        <f t="shared" si="34"/>
        <v>-7.9168136039999997</v>
      </c>
      <c r="O52">
        <f t="shared" si="35"/>
        <v>0</v>
      </c>
      <c r="P52">
        <v>-90</v>
      </c>
      <c r="Q52">
        <v>-19.999999883974265</v>
      </c>
      <c r="R52">
        <v>39.999999999998977</v>
      </c>
      <c r="S52">
        <f t="shared" si="36"/>
        <v>102.31389047618156</v>
      </c>
      <c r="T52">
        <f t="shared" si="49"/>
        <v>-102.31389047618156</v>
      </c>
      <c r="V52">
        <f t="shared" si="10"/>
        <v>20</v>
      </c>
      <c r="W52">
        <f t="shared" si="11"/>
        <v>20</v>
      </c>
    </row>
    <row r="53" spans="1:23" x14ac:dyDescent="0.55000000000000004">
      <c r="A53">
        <v>-20</v>
      </c>
      <c r="B53">
        <v>35</v>
      </c>
      <c r="C53">
        <f>3.1415927</f>
        <v>3.1415926999999999</v>
      </c>
      <c r="D53" t="s">
        <v>4</v>
      </c>
      <c r="E53" t="s">
        <v>0</v>
      </c>
      <c r="F53">
        <f t="shared" si="39"/>
        <v>0.63156722516161445</v>
      </c>
      <c r="G53">
        <v>5</v>
      </c>
      <c r="H53">
        <v>0</v>
      </c>
      <c r="I53">
        <v>20</v>
      </c>
      <c r="J53">
        <f>SIGN(V53*G53)*SUMIF(abaqus!A:A,CONCATENATE("=",ABS(V53)),abaqus!B:B)</f>
        <v>2.8274334300000001</v>
      </c>
      <c r="K53">
        <f>SIGN(W53*G53)*SUMIF(abaqus!A:A,CONCATENATE("=",ABS(W53)),abaqus!B:B)</f>
        <v>2.8274334300000001</v>
      </c>
      <c r="L53">
        <f t="shared" si="4"/>
        <v>-2.8274334300000001</v>
      </c>
      <c r="M53">
        <f t="shared" si="5"/>
        <v>-2.8274334300000001</v>
      </c>
      <c r="N53">
        <f t="shared" si="34"/>
        <v>-7.9168136039999997</v>
      </c>
      <c r="O53">
        <f t="shared" si="35"/>
        <v>0</v>
      </c>
      <c r="P53">
        <v>180</v>
      </c>
      <c r="Q53">
        <v>-15.00000000000057</v>
      </c>
      <c r="R53">
        <v>35.00000023205147</v>
      </c>
      <c r="S53">
        <f t="shared" si="36"/>
        <v>102.31389047618156</v>
      </c>
      <c r="T53">
        <f t="shared" si="49"/>
        <v>-102.31389047618156</v>
      </c>
      <c r="V53">
        <f t="shared" si="10"/>
        <v>20</v>
      </c>
      <c r="W53">
        <f t="shared" si="11"/>
        <v>20</v>
      </c>
    </row>
    <row r="54" spans="1:23" x14ac:dyDescent="0.55000000000000004">
      <c r="A54">
        <v>-20</v>
      </c>
      <c r="B54">
        <v>35</v>
      </c>
      <c r="C54">
        <v>0</v>
      </c>
      <c r="D54" t="s">
        <v>4</v>
      </c>
      <c r="E54" t="s">
        <v>0</v>
      </c>
      <c r="F54">
        <f t="shared" si="39"/>
        <v>0.25262689006464578</v>
      </c>
      <c r="G54">
        <v>5</v>
      </c>
      <c r="H54">
        <v>100</v>
      </c>
      <c r="I54">
        <v>50</v>
      </c>
      <c r="J54">
        <f>SIGN(V54*G54)*SUMIF(abaqus!A:A,CONCATENATE("=",ABS(V54)),abaqus!B:B)</f>
        <v>7.0685835749999999</v>
      </c>
      <c r="K54">
        <f>SIGN(W54*G54)*SUMIF(abaqus!A:A,CONCATENATE("=",ABS(W54)),abaqus!B:B)</f>
        <v>-7.0685835749999999</v>
      </c>
      <c r="L54">
        <f t="shared" si="4"/>
        <v>7.0685835749999999</v>
      </c>
      <c r="M54">
        <f t="shared" si="5"/>
        <v>-7.0685835749999999</v>
      </c>
      <c r="N54">
        <f t="shared" si="34"/>
        <v>0</v>
      </c>
      <c r="O54">
        <f t="shared" si="35"/>
        <v>4.9853989949622157</v>
      </c>
      <c r="P54">
        <v>72.160930310657378</v>
      </c>
      <c r="Q54">
        <v>-20</v>
      </c>
      <c r="R54">
        <v>35</v>
      </c>
      <c r="S54">
        <f t="shared" si="36"/>
        <v>-102.31389047618154</v>
      </c>
      <c r="T54">
        <f t="shared" si="49"/>
        <v>-102.31389047618154</v>
      </c>
      <c r="V54">
        <f t="shared" si="10"/>
        <v>50</v>
      </c>
      <c r="W54">
        <f t="shared" si="11"/>
        <v>-50</v>
      </c>
    </row>
    <row r="55" spans="1:23" x14ac:dyDescent="0.55000000000000004">
      <c r="A55">
        <v>-20</v>
      </c>
      <c r="B55">
        <v>35</v>
      </c>
      <c r="C55">
        <f>3.1415927/2</f>
        <v>1.57079635</v>
      </c>
      <c r="D55" t="s">
        <v>4</v>
      </c>
      <c r="E55" t="s">
        <v>0</v>
      </c>
      <c r="F55">
        <f t="shared" si="39"/>
        <v>0.25262689006464578</v>
      </c>
      <c r="G55">
        <v>5</v>
      </c>
      <c r="H55">
        <v>100</v>
      </c>
      <c r="I55">
        <v>50</v>
      </c>
      <c r="J55">
        <f>SIGN(V55*G55)*SUMIF(abaqus!A:A,CONCATENATE("=",ABS(V55)),abaqus!B:B)</f>
        <v>7.0685835749999999</v>
      </c>
      <c r="K55">
        <f>SIGN(W55*G55)*SUMIF(abaqus!A:A,CONCATENATE("=",ABS(W55)),abaqus!B:B)</f>
        <v>-7.0685835749999999</v>
      </c>
      <c r="L55">
        <f t="shared" si="4"/>
        <v>7.0685835749999999</v>
      </c>
      <c r="M55">
        <f t="shared" si="5"/>
        <v>-7.0685835749999999</v>
      </c>
      <c r="N55">
        <f t="shared" si="34"/>
        <v>0</v>
      </c>
      <c r="O55">
        <f t="shared" si="35"/>
        <v>4.9853989949622157</v>
      </c>
      <c r="P55">
        <v>162.16093031065569</v>
      </c>
      <c r="Q55">
        <v>-20</v>
      </c>
      <c r="R55">
        <v>35</v>
      </c>
      <c r="S55">
        <f t="shared" si="36"/>
        <v>-102.31389047618154</v>
      </c>
      <c r="T55">
        <f t="shared" si="49"/>
        <v>-102.31389047618154</v>
      </c>
      <c r="V55">
        <f t="shared" si="10"/>
        <v>50</v>
      </c>
      <c r="W55">
        <f t="shared" si="11"/>
        <v>-50</v>
      </c>
    </row>
    <row r="56" spans="1:23" x14ac:dyDescent="0.55000000000000004">
      <c r="A56">
        <v>-20</v>
      </c>
      <c r="B56">
        <v>35</v>
      </c>
      <c r="C56">
        <f>-3.1415927/2</f>
        <v>-1.57079635</v>
      </c>
      <c r="D56" t="s">
        <v>4</v>
      </c>
      <c r="E56" t="s">
        <v>0</v>
      </c>
      <c r="F56">
        <f t="shared" si="39"/>
        <v>0.25262689006464578</v>
      </c>
      <c r="G56">
        <v>5</v>
      </c>
      <c r="H56">
        <v>100</v>
      </c>
      <c r="I56">
        <v>50</v>
      </c>
      <c r="J56">
        <f>SIGN(V56*G56)*SUMIF(abaqus!A:A,CONCATENATE("=",ABS(V56)),abaqus!B:B)</f>
        <v>7.0685835749999999</v>
      </c>
      <c r="K56">
        <f>SIGN(W56*G56)*SUMIF(abaqus!A:A,CONCATENATE("=",ABS(W56)),abaqus!B:B)</f>
        <v>-7.0685835749999999</v>
      </c>
      <c r="L56">
        <f t="shared" si="4"/>
        <v>7.0685835749999999</v>
      </c>
      <c r="M56">
        <f t="shared" si="5"/>
        <v>-7.0685835749999999</v>
      </c>
      <c r="N56">
        <f t="shared" si="34"/>
        <v>0</v>
      </c>
      <c r="O56">
        <f t="shared" si="35"/>
        <v>4.9853989949622157</v>
      </c>
      <c r="P56">
        <v>-17.839069689341859</v>
      </c>
      <c r="Q56">
        <v>-20</v>
      </c>
      <c r="R56">
        <v>35</v>
      </c>
      <c r="S56">
        <f t="shared" si="36"/>
        <v>-102.31389047618154</v>
      </c>
      <c r="T56">
        <f t="shared" si="49"/>
        <v>-102.31389047618154</v>
      </c>
      <c r="V56">
        <f t="shared" si="10"/>
        <v>50</v>
      </c>
      <c r="W56">
        <f t="shared" si="11"/>
        <v>-50</v>
      </c>
    </row>
    <row r="57" spans="1:23" x14ac:dyDescent="0.55000000000000004">
      <c r="A57">
        <v>-20</v>
      </c>
      <c r="B57">
        <v>35</v>
      </c>
      <c r="C57">
        <f>3.1415927</f>
        <v>3.1415926999999999</v>
      </c>
      <c r="D57" t="s">
        <v>4</v>
      </c>
      <c r="E57" t="s">
        <v>0</v>
      </c>
      <c r="F57">
        <f t="shared" si="39"/>
        <v>0.25262689006464578</v>
      </c>
      <c r="G57">
        <v>5</v>
      </c>
      <c r="H57">
        <v>100</v>
      </c>
      <c r="I57">
        <v>50</v>
      </c>
      <c r="J57">
        <f>SIGN(V57*G57)*SUMIF(abaqus!A:A,CONCATENATE("=",ABS(V57)),abaqus!B:B)</f>
        <v>7.0685835749999999</v>
      </c>
      <c r="K57">
        <f>SIGN(W57*G57)*SUMIF(abaqus!A:A,CONCATENATE("=",ABS(W57)),abaqus!B:B)</f>
        <v>-7.0685835749999999</v>
      </c>
      <c r="L57">
        <f t="shared" si="4"/>
        <v>7.0685835749999999</v>
      </c>
      <c r="M57">
        <f t="shared" si="5"/>
        <v>-7.0685835749999999</v>
      </c>
      <c r="N57">
        <f t="shared" si="34"/>
        <v>0</v>
      </c>
      <c r="O57">
        <f t="shared" si="35"/>
        <v>4.9853989949622157</v>
      </c>
      <c r="P57">
        <v>252.16093031065753</v>
      </c>
      <c r="Q57">
        <v>-20</v>
      </c>
      <c r="R57">
        <v>35</v>
      </c>
      <c r="S57">
        <f t="shared" si="36"/>
        <v>-102.31389047618154</v>
      </c>
      <c r="T57">
        <f t="shared" si="49"/>
        <v>-102.31389047618154</v>
      </c>
      <c r="V57">
        <f t="shared" si="10"/>
        <v>50</v>
      </c>
      <c r="W57">
        <f t="shared" si="11"/>
        <v>-50</v>
      </c>
    </row>
    <row r="58" spans="1:23" x14ac:dyDescent="0.55000000000000004">
      <c r="A58">
        <v>-20</v>
      </c>
      <c r="B58">
        <v>35</v>
      </c>
      <c r="C58">
        <v>0</v>
      </c>
      <c r="D58" t="s">
        <v>4</v>
      </c>
      <c r="E58" t="s">
        <v>0</v>
      </c>
      <c r="F58">
        <f t="shared" ref="F58:F61" si="50">4*ABS(G58)/(ABS(L58)+ABS(M58))/5.6</f>
        <v>0.50525378012929156</v>
      </c>
      <c r="G58">
        <v>5</v>
      </c>
      <c r="H58">
        <v>99</v>
      </c>
      <c r="I58">
        <v>50</v>
      </c>
      <c r="J58">
        <f>SIGN(V58*G58)*SUMIF(abaqus!A:A,CONCATENATE("=",ABS(V58)),abaqus!B:B)</f>
        <v>7.0685835749999999</v>
      </c>
      <c r="K58">
        <f>SIGN(W58*G58)*SUMIF(abaqus!A:A,CONCATENATE("=",ABS(W58)),abaqus!B:B)</f>
        <v>0</v>
      </c>
      <c r="L58">
        <f t="shared" ref="L58:L61" si="51">IF(D58="E",J58,0)+IF(E58="E",-K58,0)</f>
        <v>0</v>
      </c>
      <c r="M58">
        <f t="shared" ref="M58:M61" si="52">IF(D58="F",-J58,0)+IF(E58="F",K58,0)</f>
        <v>-7.0685835749999999</v>
      </c>
      <c r="N58">
        <f t="shared" ref="N58:N61" si="53">(L58+M58)*0.5*5.6/2</f>
        <v>-9.8960170049999991</v>
      </c>
      <c r="O58">
        <f t="shared" ref="O58:O61" si="54">(L58-M58)/3.97/2*5.6/2</f>
        <v>2.4926994974811079</v>
      </c>
      <c r="P58">
        <v>72.160930310657406</v>
      </c>
      <c r="Q58">
        <v>-23.779126279196973</v>
      </c>
      <c r="R58">
        <v>32.246187604069981</v>
      </c>
      <c r="S58">
        <f t="shared" ref="S58:S61" si="55">-L58*$F58/3.1415927*180</f>
        <v>0</v>
      </c>
      <c r="T58">
        <f t="shared" ref="T58:T61" si="56">M58*$F58/3.1415927*180</f>
        <v>-204.62778095236308</v>
      </c>
      <c r="V58">
        <f t="shared" ref="V58:V61" si="57">IF(H58=100,I58,IF(H58=-100,-I58,IF(H58&lt;0,I58*(100+H58)/100,I58)))</f>
        <v>50</v>
      </c>
      <c r="W58">
        <f t="shared" ref="W58:W61" si="58">IF(H58=100,-I58,IF(H58=-100,I58,IF(H58&gt;0,I58*(100-H58)/100,I58)))</f>
        <v>0.5</v>
      </c>
    </row>
    <row r="59" spans="1:23" x14ac:dyDescent="0.55000000000000004">
      <c r="A59">
        <v>-20</v>
      </c>
      <c r="B59">
        <v>35</v>
      </c>
      <c r="C59">
        <f>3.1415927/2</f>
        <v>1.57079635</v>
      </c>
      <c r="D59" t="s">
        <v>4</v>
      </c>
      <c r="E59" t="s">
        <v>0</v>
      </c>
      <c r="F59">
        <f t="shared" si="50"/>
        <v>0.50525378012929156</v>
      </c>
      <c r="G59">
        <v>5</v>
      </c>
      <c r="H59">
        <v>99</v>
      </c>
      <c r="I59">
        <v>50</v>
      </c>
      <c r="J59">
        <f>SIGN(V59*G59)*SUMIF(abaqus!A:A,CONCATENATE("=",ABS(V59)),abaqus!B:B)</f>
        <v>7.0685835749999999</v>
      </c>
      <c r="K59">
        <f>SIGN(W59*G59)*SUMIF(abaqus!A:A,CONCATENATE("=",ABS(W59)),abaqus!B:B)</f>
        <v>0</v>
      </c>
      <c r="L59">
        <f t="shared" si="51"/>
        <v>0</v>
      </c>
      <c r="M59">
        <f t="shared" si="52"/>
        <v>-7.0685835749999999</v>
      </c>
      <c r="N59">
        <f t="shared" si="53"/>
        <v>-9.8960170049999991</v>
      </c>
      <c r="O59">
        <f t="shared" si="54"/>
        <v>2.4926994974811079</v>
      </c>
      <c r="P59">
        <v>162.16093031066202</v>
      </c>
      <c r="Q59">
        <v>-17.246187516374999</v>
      </c>
      <c r="R59">
        <v>31.220873784705553</v>
      </c>
      <c r="S59">
        <f t="shared" si="55"/>
        <v>0</v>
      </c>
      <c r="T59">
        <f t="shared" si="56"/>
        <v>-204.62778095236308</v>
      </c>
      <c r="V59">
        <f t="shared" si="57"/>
        <v>50</v>
      </c>
      <c r="W59">
        <f t="shared" si="58"/>
        <v>0.5</v>
      </c>
    </row>
    <row r="60" spans="1:23" x14ac:dyDescent="0.55000000000000004">
      <c r="A60">
        <v>-20</v>
      </c>
      <c r="B60">
        <v>35</v>
      </c>
      <c r="C60">
        <f>-3.1415927/2</f>
        <v>-1.57079635</v>
      </c>
      <c r="D60" t="s">
        <v>4</v>
      </c>
      <c r="E60" t="s">
        <v>0</v>
      </c>
      <c r="F60">
        <f t="shared" si="50"/>
        <v>0.50525378012929156</v>
      </c>
      <c r="G60">
        <v>5</v>
      </c>
      <c r="H60">
        <v>99</v>
      </c>
      <c r="I60">
        <v>50</v>
      </c>
      <c r="J60">
        <f>SIGN(V60*G60)*SUMIF(abaqus!A:A,CONCATENATE("=",ABS(V60)),abaqus!B:B)</f>
        <v>7.0685835749999999</v>
      </c>
      <c r="K60">
        <f>SIGN(W60*G60)*SUMIF(abaqus!A:A,CONCATENATE("=",ABS(W60)),abaqus!B:B)</f>
        <v>0</v>
      </c>
      <c r="L60">
        <f t="shared" si="51"/>
        <v>0</v>
      </c>
      <c r="M60">
        <f t="shared" si="52"/>
        <v>-7.0685835749999999</v>
      </c>
      <c r="N60">
        <f t="shared" si="53"/>
        <v>-9.8960170049999991</v>
      </c>
      <c r="O60">
        <f t="shared" si="54"/>
        <v>2.4926994974811079</v>
      </c>
      <c r="P60">
        <v>-17.839069689343408</v>
      </c>
      <c r="Q60">
        <v>-22.753812308234863</v>
      </c>
      <c r="R60">
        <v>38.779126343099492</v>
      </c>
      <c r="S60">
        <f t="shared" si="55"/>
        <v>0</v>
      </c>
      <c r="T60">
        <f t="shared" si="56"/>
        <v>-204.62778095236308</v>
      </c>
      <c r="V60">
        <f t="shared" si="57"/>
        <v>50</v>
      </c>
      <c r="W60">
        <f t="shared" si="58"/>
        <v>0.5</v>
      </c>
    </row>
    <row r="61" spans="1:23" x14ac:dyDescent="0.55000000000000004">
      <c r="A61">
        <v>-20</v>
      </c>
      <c r="B61">
        <v>35</v>
      </c>
      <c r="C61">
        <f>3.1415927</f>
        <v>3.1415926999999999</v>
      </c>
      <c r="D61" t="s">
        <v>4</v>
      </c>
      <c r="E61" t="s">
        <v>0</v>
      </c>
      <c r="F61">
        <f t="shared" si="50"/>
        <v>0.50525378012929156</v>
      </c>
      <c r="G61">
        <v>5</v>
      </c>
      <c r="H61">
        <v>99</v>
      </c>
      <c r="I61">
        <v>50</v>
      </c>
      <c r="J61">
        <f>SIGN(V61*G61)*SUMIF(abaqus!A:A,CONCATENATE("=",ABS(V61)),abaqus!B:B)</f>
        <v>7.0685835749999999</v>
      </c>
      <c r="K61">
        <f>SIGN(W61*G61)*SUMIF(abaqus!A:A,CONCATENATE("=",ABS(W61)),abaqus!B:B)</f>
        <v>0</v>
      </c>
      <c r="L61">
        <f t="shared" si="51"/>
        <v>0</v>
      </c>
      <c r="M61">
        <f t="shared" si="52"/>
        <v>-7.0685835749999999</v>
      </c>
      <c r="N61">
        <f t="shared" si="53"/>
        <v>-9.8960170049999991</v>
      </c>
      <c r="O61">
        <f t="shared" si="54"/>
        <v>2.4926994974811079</v>
      </c>
      <c r="P61">
        <v>252.16093031065822</v>
      </c>
      <c r="Q61">
        <v>-16.220873848608154</v>
      </c>
      <c r="R61">
        <v>37.75381257132026</v>
      </c>
      <c r="S61">
        <f t="shared" si="55"/>
        <v>0</v>
      </c>
      <c r="T61">
        <f t="shared" si="56"/>
        <v>-204.62778095236308</v>
      </c>
      <c r="V61">
        <f t="shared" si="57"/>
        <v>50</v>
      </c>
      <c r="W61">
        <f t="shared" si="58"/>
        <v>0.5</v>
      </c>
    </row>
    <row r="62" spans="1:23" x14ac:dyDescent="0.55000000000000004">
      <c r="A62">
        <v>-20</v>
      </c>
      <c r="B62">
        <v>35</v>
      </c>
      <c r="C62">
        <v>0</v>
      </c>
      <c r="D62" t="s">
        <v>4</v>
      </c>
      <c r="E62" t="s">
        <v>0</v>
      </c>
      <c r="F62">
        <f t="shared" si="39"/>
        <v>0.33683585340364358</v>
      </c>
      <c r="G62">
        <v>5</v>
      </c>
      <c r="H62">
        <v>50</v>
      </c>
      <c r="I62">
        <v>50</v>
      </c>
      <c r="J62">
        <f>SIGN(V62*G62)*SUMIF(abaqus!A:A,CONCATENATE("=",ABS(V62)),abaqus!B:B)</f>
        <v>7.0685835749999999</v>
      </c>
      <c r="K62">
        <f>SIGN(W62*G62)*SUMIF(abaqus!A:A,CONCATENATE("=",ABS(W62)),abaqus!B:B)</f>
        <v>3.534291788</v>
      </c>
      <c r="L62">
        <f t="shared" si="4"/>
        <v>-3.534291788</v>
      </c>
      <c r="M62">
        <f t="shared" si="5"/>
        <v>-7.0685835749999999</v>
      </c>
      <c r="N62">
        <f t="shared" si="34"/>
        <v>-14.844025508199998</v>
      </c>
      <c r="O62">
        <f t="shared" si="35"/>
        <v>1.2463497485642316</v>
      </c>
      <c r="P62">
        <v>24.053643432348188</v>
      </c>
      <c r="Q62">
        <v>-24.854418620985246</v>
      </c>
      <c r="R62">
        <v>33.965787103004516</v>
      </c>
      <c r="S62">
        <f t="shared" si="36"/>
        <v>68.209260323887463</v>
      </c>
      <c r="T62">
        <f t="shared" si="49"/>
        <v>-136.41852062847565</v>
      </c>
      <c r="V62">
        <f t="shared" si="10"/>
        <v>50</v>
      </c>
      <c r="W62">
        <f t="shared" si="11"/>
        <v>25</v>
      </c>
    </row>
    <row r="63" spans="1:23" x14ac:dyDescent="0.55000000000000004">
      <c r="A63">
        <v>-20</v>
      </c>
      <c r="B63">
        <v>35</v>
      </c>
      <c r="C63">
        <f>3.1415927/2</f>
        <v>1.57079635</v>
      </c>
      <c r="D63" t="s">
        <v>4</v>
      </c>
      <c r="E63" t="s">
        <v>0</v>
      </c>
      <c r="F63">
        <f t="shared" si="39"/>
        <v>0.33683585340364358</v>
      </c>
      <c r="G63">
        <v>5</v>
      </c>
      <c r="H63">
        <v>50</v>
      </c>
      <c r="I63">
        <v>50</v>
      </c>
      <c r="J63">
        <f>SIGN(V63*G63)*SUMIF(abaqus!A:A,CONCATENATE("=",ABS(V63)),abaqus!B:B)</f>
        <v>7.0685835749999999</v>
      </c>
      <c r="K63">
        <f>SIGN(W63*G63)*SUMIF(abaqus!A:A,CONCATENATE("=",ABS(W63)),abaqus!B:B)</f>
        <v>3.534291788</v>
      </c>
      <c r="L63">
        <f t="shared" si="4"/>
        <v>-3.534291788</v>
      </c>
      <c r="M63">
        <f t="shared" si="5"/>
        <v>-7.0685835749999999</v>
      </c>
      <c r="N63">
        <f t="shared" si="34"/>
        <v>-14.844025508199998</v>
      </c>
      <c r="O63">
        <f t="shared" si="35"/>
        <v>1.2463497485642316</v>
      </c>
      <c r="P63">
        <v>114.05364343235195</v>
      </c>
      <c r="Q63">
        <v>-18.96578699035695</v>
      </c>
      <c r="R63">
        <v>30.145581403013797</v>
      </c>
      <c r="S63">
        <f t="shared" si="36"/>
        <v>68.209260323887463</v>
      </c>
      <c r="T63">
        <f t="shared" si="49"/>
        <v>-136.41852062847565</v>
      </c>
      <c r="V63">
        <f t="shared" si="10"/>
        <v>50</v>
      </c>
      <c r="W63">
        <f t="shared" si="11"/>
        <v>25</v>
      </c>
    </row>
    <row r="64" spans="1:23" x14ac:dyDescent="0.55000000000000004">
      <c r="A64">
        <v>-20</v>
      </c>
      <c r="B64">
        <v>35</v>
      </c>
      <c r="C64">
        <f>-3.1415927/2</f>
        <v>-1.57079635</v>
      </c>
      <c r="D64" t="s">
        <v>4</v>
      </c>
      <c r="E64" t="s">
        <v>0</v>
      </c>
      <c r="F64">
        <f t="shared" si="39"/>
        <v>0.33683585340364358</v>
      </c>
      <c r="G64">
        <v>5</v>
      </c>
      <c r="H64">
        <v>50</v>
      </c>
      <c r="I64">
        <v>50</v>
      </c>
      <c r="J64">
        <f>SIGN(V64*G64)*SUMIF(abaqus!A:A,CONCATENATE("=",ABS(V64)),abaqus!B:B)</f>
        <v>7.0685835749999999</v>
      </c>
      <c r="K64">
        <f>SIGN(W64*G64)*SUMIF(abaqus!A:A,CONCATENATE("=",ABS(W64)),abaqus!B:B)</f>
        <v>3.534291788</v>
      </c>
      <c r="L64">
        <f t="shared" si="4"/>
        <v>-3.534291788</v>
      </c>
      <c r="M64">
        <f t="shared" si="5"/>
        <v>-7.0685835749999999</v>
      </c>
      <c r="N64">
        <f t="shared" si="34"/>
        <v>-14.844025508199998</v>
      </c>
      <c r="O64">
        <f t="shared" si="35"/>
        <v>1.2463497485642316</v>
      </c>
      <c r="P64">
        <v>-65.946356567648053</v>
      </c>
      <c r="Q64">
        <v>-21.034212784348409</v>
      </c>
      <c r="R64">
        <v>39.85441864498425</v>
      </c>
      <c r="S64">
        <f t="shared" si="36"/>
        <v>68.209260323887463</v>
      </c>
      <c r="T64">
        <f t="shared" si="49"/>
        <v>-136.41852062847565</v>
      </c>
      <c r="V64">
        <f t="shared" si="10"/>
        <v>50</v>
      </c>
      <c r="W64">
        <f t="shared" si="11"/>
        <v>25</v>
      </c>
    </row>
    <row r="65" spans="1:23" x14ac:dyDescent="0.55000000000000004">
      <c r="A65">
        <v>-20</v>
      </c>
      <c r="B65">
        <v>35</v>
      </c>
      <c r="C65">
        <f>3.1415927</f>
        <v>3.1415926999999999</v>
      </c>
      <c r="D65" t="s">
        <v>4</v>
      </c>
      <c r="E65" t="s">
        <v>0</v>
      </c>
      <c r="F65">
        <f t="shared" si="39"/>
        <v>0.33683585340364358</v>
      </c>
      <c r="G65">
        <v>5</v>
      </c>
      <c r="H65">
        <v>50</v>
      </c>
      <c r="I65">
        <v>50</v>
      </c>
      <c r="J65">
        <f>SIGN(V65*G65)*SUMIF(abaqus!A:A,CONCATENATE("=",ABS(V65)),abaqus!B:B)</f>
        <v>7.0685835749999999</v>
      </c>
      <c r="K65">
        <f>SIGN(W65*G65)*SUMIF(abaqus!A:A,CONCATENATE("=",ABS(W65)),abaqus!B:B)</f>
        <v>3.534291788</v>
      </c>
      <c r="L65">
        <f t="shared" si="4"/>
        <v>-3.534291788</v>
      </c>
      <c r="M65">
        <f t="shared" si="5"/>
        <v>-7.0685835749999999</v>
      </c>
      <c r="N65">
        <f t="shared" si="34"/>
        <v>-14.844025508199998</v>
      </c>
      <c r="O65">
        <f t="shared" si="35"/>
        <v>1.2463497485642316</v>
      </c>
      <c r="P65">
        <v>204.05364343235195</v>
      </c>
      <c r="Q65">
        <v>-15.145581427012884</v>
      </c>
      <c r="R65">
        <v>36.034213122290311</v>
      </c>
      <c r="S65">
        <f t="shared" si="36"/>
        <v>68.209260323887463</v>
      </c>
      <c r="T65">
        <f t="shared" si="49"/>
        <v>-136.41852062847565</v>
      </c>
      <c r="V65">
        <f t="shared" si="10"/>
        <v>50</v>
      </c>
      <c r="W65">
        <f t="shared" si="11"/>
        <v>25</v>
      </c>
    </row>
    <row r="77" spans="1:23" x14ac:dyDescent="0.55000000000000004">
      <c r="S77">
        <f>SQRT(60*60*2)</f>
        <v>84.852813742385706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531D2-8CFC-4FC3-B050-F4B7B3BB9201}">
  <sheetPr codeName="Sheet7"/>
  <dimension ref="A1:T49"/>
  <sheetViews>
    <sheetView zoomScale="73" zoomScaleNormal="73" workbookViewId="0">
      <selection activeCell="H2" sqref="H2"/>
    </sheetView>
  </sheetViews>
  <sheetFormatPr defaultRowHeight="14.4" x14ac:dyDescent="0.55000000000000004"/>
  <cols>
    <col min="6" max="6" width="11.578125" bestFit="1" customWidth="1"/>
    <col min="8" max="8" width="13.578125" customWidth="1"/>
    <col min="9" max="9" width="15" customWidth="1"/>
    <col min="13" max="16" width="10.734375" customWidth="1"/>
    <col min="19" max="19" width="10.7890625" customWidth="1"/>
  </cols>
  <sheetData>
    <row r="1" spans="1:20" x14ac:dyDescent="0.55000000000000004">
      <c r="A1" t="s">
        <v>1</v>
      </c>
      <c r="B1" t="s">
        <v>2</v>
      </c>
      <c r="C1" t="s">
        <v>3</v>
      </c>
      <c r="D1" t="s">
        <v>5</v>
      </c>
      <c r="E1" t="s">
        <v>6</v>
      </c>
      <c r="F1" t="s">
        <v>12</v>
      </c>
      <c r="G1" t="s">
        <v>21</v>
      </c>
      <c r="H1" t="s">
        <v>19</v>
      </c>
      <c r="I1" t="s">
        <v>20</v>
      </c>
      <c r="J1" t="s">
        <v>16</v>
      </c>
      <c r="K1" t="s">
        <v>17</v>
      </c>
      <c r="L1" t="s">
        <v>29</v>
      </c>
      <c r="M1" t="s">
        <v>30</v>
      </c>
      <c r="N1" t="s">
        <v>14</v>
      </c>
      <c r="O1" t="s">
        <v>15</v>
      </c>
      <c r="P1" t="s">
        <v>10</v>
      </c>
      <c r="Q1" t="s">
        <v>8</v>
      </c>
      <c r="R1" t="s">
        <v>9</v>
      </c>
      <c r="S1" t="s">
        <v>25</v>
      </c>
      <c r="T1" t="s">
        <v>26</v>
      </c>
    </row>
    <row r="2" spans="1:20" x14ac:dyDescent="0.55000000000000004">
      <c r="A2">
        <v>0</v>
      </c>
      <c r="B2">
        <v>0</v>
      </c>
      <c r="C2">
        <v>0</v>
      </c>
      <c r="D2" t="s">
        <v>0</v>
      </c>
      <c r="E2" t="s">
        <v>4</v>
      </c>
      <c r="F2">
        <f>4*ABS(G2)/(ABS(L2)+ABS(M2))/5.6</f>
        <v>0.63999991075197238</v>
      </c>
      <c r="G2">
        <v>5.0667600000000004</v>
      </c>
      <c r="H2">
        <v>20</v>
      </c>
      <c r="I2">
        <v>20</v>
      </c>
      <c r="J2">
        <f>SIGN(H2*G2)*SUMIF(abaqus!A:A,CONCATENATE("=",ABS(H2)),abaqus!B:B)</f>
        <v>2.8274334300000001</v>
      </c>
      <c r="K2">
        <f>SIGN(I2*G2)*SUMIF(abaqus!A:A,CONCATENATE("=",ABS(I2)),abaqus!B:B)</f>
        <v>2.8274334300000001</v>
      </c>
      <c r="L2">
        <f t="shared" ref="L2:L25" si="0">IF(D2="E",J2,0)+IF(E2="E",-K2,0)</f>
        <v>2.8274334300000001</v>
      </c>
      <c r="M2">
        <f t="shared" ref="M2:M25" si="1">IF(D2="F",-J2,0)+IF(E2="F",K2,0)</f>
        <v>2.8274334300000001</v>
      </c>
      <c r="N2">
        <f>(L2+M2)*0.5*5.6/2</f>
        <v>7.9168136039999997</v>
      </c>
      <c r="O2">
        <f>(L2-M2)/3.97/2*5.6/2</f>
        <v>0</v>
      </c>
      <c r="P2">
        <v>0</v>
      </c>
      <c r="Q2">
        <v>5.0667600000001105</v>
      </c>
      <c r="R2">
        <v>0</v>
      </c>
      <c r="S2">
        <f>-L2*$F2/3.1415927*180</f>
        <v>-103.67998554181953</v>
      </c>
      <c r="T2">
        <f>M2*$F2/3.1415927*180</f>
        <v>103.67998554181953</v>
      </c>
    </row>
    <row r="3" spans="1:20" x14ac:dyDescent="0.55000000000000004">
      <c r="A3">
        <v>0</v>
      </c>
      <c r="B3">
        <v>0</v>
      </c>
      <c r="C3">
        <v>0</v>
      </c>
      <c r="D3" t="s">
        <v>0</v>
      </c>
      <c r="E3" t="s">
        <v>4</v>
      </c>
      <c r="F3">
        <f t="shared" ref="F3:F25" si="2">4*ABS(G3)/(ABS(L3)+ABS(M3))/5.6</f>
        <v>0.63999991075197238</v>
      </c>
      <c r="G3">
        <v>-5.0667600000000004</v>
      </c>
      <c r="H3">
        <v>20</v>
      </c>
      <c r="I3">
        <v>20</v>
      </c>
      <c r="J3">
        <f>SIGN(H3*G3)*SUMIF(abaqus!A:A,CONCATENATE("=",ABS(H3)),abaqus!B:B)</f>
        <v>-2.8274334300000001</v>
      </c>
      <c r="K3">
        <f>SIGN(I3*G3)*SUMIF(abaqus!A:A,CONCATENATE("=",ABS(I3)),abaqus!B:B)</f>
        <v>-2.8274334300000001</v>
      </c>
      <c r="L3">
        <f t="shared" si="0"/>
        <v>-2.8274334300000001</v>
      </c>
      <c r="M3">
        <f t="shared" si="1"/>
        <v>-2.8274334300000001</v>
      </c>
      <c r="N3">
        <f t="shared" ref="N3:N25" si="3">(L3+M3)*0.5*5.6/2</f>
        <v>-7.9168136039999997</v>
      </c>
      <c r="O3">
        <f t="shared" ref="O3:O25" si="4">(L3-M3)/3.97/2*5.6/2</f>
        <v>0</v>
      </c>
      <c r="P3">
        <v>0</v>
      </c>
      <c r="Q3">
        <v>-5.0667600000001105</v>
      </c>
      <c r="R3">
        <v>0</v>
      </c>
      <c r="S3">
        <f t="shared" ref="S3:S25" si="5">-L3*$F3/3.1415927*180</f>
        <v>103.67998554181953</v>
      </c>
      <c r="T3">
        <f t="shared" ref="T3:T25" si="6">M3*$F3/3.1415927*180</f>
        <v>-103.67998554181953</v>
      </c>
    </row>
    <row r="4" spans="1:20" x14ac:dyDescent="0.55000000000000004">
      <c r="A4">
        <v>0</v>
      </c>
      <c r="B4">
        <v>0</v>
      </c>
      <c r="C4">
        <v>0</v>
      </c>
      <c r="D4" t="s">
        <v>0</v>
      </c>
      <c r="E4" t="s">
        <v>4</v>
      </c>
      <c r="F4">
        <f t="shared" si="2"/>
        <v>0.63999991075197238</v>
      </c>
      <c r="G4">
        <v>-5.0667600000000004</v>
      </c>
      <c r="H4">
        <v>-20</v>
      </c>
      <c r="I4">
        <v>-20</v>
      </c>
      <c r="J4">
        <f>SIGN(H4*G4)*SUMIF(abaqus!A:A,CONCATENATE("=",ABS(H4)),abaqus!B:B)</f>
        <v>2.8274334300000001</v>
      </c>
      <c r="K4">
        <f>SIGN(I4*G4)*SUMIF(abaqus!A:A,CONCATENATE("=",ABS(I4)),abaqus!B:B)</f>
        <v>2.8274334300000001</v>
      </c>
      <c r="L4">
        <f t="shared" si="0"/>
        <v>2.8274334300000001</v>
      </c>
      <c r="M4">
        <f t="shared" si="1"/>
        <v>2.8274334300000001</v>
      </c>
      <c r="N4">
        <f t="shared" si="3"/>
        <v>7.9168136039999997</v>
      </c>
      <c r="O4">
        <f t="shared" si="4"/>
        <v>0</v>
      </c>
      <c r="P4">
        <v>0</v>
      </c>
      <c r="Q4">
        <v>5.0667600000001105</v>
      </c>
      <c r="R4">
        <v>0</v>
      </c>
      <c r="S4">
        <f t="shared" si="5"/>
        <v>-103.67998554181953</v>
      </c>
      <c r="T4">
        <f t="shared" si="6"/>
        <v>103.67998554181953</v>
      </c>
    </row>
    <row r="5" spans="1:20" x14ac:dyDescent="0.55000000000000004">
      <c r="A5">
        <v>0</v>
      </c>
      <c r="B5">
        <v>0</v>
      </c>
      <c r="C5">
        <v>0</v>
      </c>
      <c r="D5" t="s">
        <v>0</v>
      </c>
      <c r="E5" t="s">
        <v>4</v>
      </c>
      <c r="F5">
        <f t="shared" si="2"/>
        <v>0.63999991075197238</v>
      </c>
      <c r="G5">
        <v>5.0667600000000004</v>
      </c>
      <c r="H5">
        <v>-20</v>
      </c>
      <c r="I5">
        <v>-20</v>
      </c>
      <c r="J5">
        <f>SIGN(H5*G5)*SUMIF(abaqus!A:A,CONCATENATE("=",ABS(H5)),abaqus!B:B)</f>
        <v>-2.8274334300000001</v>
      </c>
      <c r="K5">
        <f>SIGN(I5*G5)*SUMIF(abaqus!A:A,CONCATENATE("=",ABS(I5)),abaqus!B:B)</f>
        <v>-2.8274334300000001</v>
      </c>
      <c r="L5">
        <f t="shared" si="0"/>
        <v>-2.8274334300000001</v>
      </c>
      <c r="M5">
        <f t="shared" si="1"/>
        <v>-2.8274334300000001</v>
      </c>
      <c r="N5">
        <f t="shared" si="3"/>
        <v>-7.9168136039999997</v>
      </c>
      <c r="O5">
        <f t="shared" si="4"/>
        <v>0</v>
      </c>
      <c r="P5">
        <v>0</v>
      </c>
      <c r="Q5">
        <v>-5.0667600000001105</v>
      </c>
      <c r="R5">
        <v>0</v>
      </c>
      <c r="S5">
        <f t="shared" si="5"/>
        <v>103.67998554181953</v>
      </c>
      <c r="T5">
        <f t="shared" si="6"/>
        <v>-103.67998554181953</v>
      </c>
    </row>
    <row r="6" spans="1:20" x14ac:dyDescent="0.55000000000000004">
      <c r="A6">
        <v>0</v>
      </c>
      <c r="B6">
        <v>0</v>
      </c>
      <c r="C6">
        <v>0</v>
      </c>
      <c r="D6" t="s">
        <v>0</v>
      </c>
      <c r="E6" t="s">
        <v>4</v>
      </c>
      <c r="F6">
        <f t="shared" si="2"/>
        <v>0.63999991075197238</v>
      </c>
      <c r="G6">
        <f>2*G2</f>
        <v>10.133520000000001</v>
      </c>
      <c r="H6">
        <v>40</v>
      </c>
      <c r="I6">
        <v>40</v>
      </c>
      <c r="J6">
        <f>SIGN(H6*G6)*SUMIF(abaqus!A:A,CONCATENATE("=",ABS(H6)),abaqus!B:B)</f>
        <v>5.6548668600000003</v>
      </c>
      <c r="K6">
        <f>SIGN(I6*G6)*SUMIF(abaqus!A:A,CONCATENATE("=",ABS(I6)),abaqus!B:B)</f>
        <v>5.6548668600000003</v>
      </c>
      <c r="L6">
        <f t="shared" si="0"/>
        <v>5.6548668600000003</v>
      </c>
      <c r="M6">
        <f t="shared" si="1"/>
        <v>5.6548668600000003</v>
      </c>
      <c r="N6">
        <f t="shared" si="3"/>
        <v>15.833627207999999</v>
      </c>
      <c r="O6">
        <f t="shared" si="4"/>
        <v>0</v>
      </c>
      <c r="P6">
        <v>0</v>
      </c>
      <c r="Q6">
        <v>10.133520000000221</v>
      </c>
      <c r="R6">
        <v>0</v>
      </c>
      <c r="S6">
        <f t="shared" si="5"/>
        <v>-207.35997108363907</v>
      </c>
      <c r="T6">
        <f t="shared" si="6"/>
        <v>207.35997108363907</v>
      </c>
    </row>
    <row r="7" spans="1:20" x14ac:dyDescent="0.55000000000000004">
      <c r="A7">
        <v>0</v>
      </c>
      <c r="B7">
        <v>0</v>
      </c>
      <c r="C7">
        <v>0</v>
      </c>
      <c r="D7" t="s">
        <v>0</v>
      </c>
      <c r="E7" t="s">
        <v>4</v>
      </c>
      <c r="F7">
        <f t="shared" si="2"/>
        <v>0.63999991075197238</v>
      </c>
      <c r="G7">
        <f t="shared" ref="G7:G9" si="7">2*G3</f>
        <v>-10.133520000000001</v>
      </c>
      <c r="H7">
        <v>40</v>
      </c>
      <c r="I7">
        <v>40</v>
      </c>
      <c r="J7">
        <f>SIGN(H7*G7)*SUMIF(abaqus!A:A,CONCATENATE("=",ABS(H7)),abaqus!B:B)</f>
        <v>-5.6548668600000003</v>
      </c>
      <c r="K7">
        <f>SIGN(I7*G7)*SUMIF(abaqus!A:A,CONCATENATE("=",ABS(I7)),abaqus!B:B)</f>
        <v>-5.6548668600000003</v>
      </c>
      <c r="L7">
        <f t="shared" si="0"/>
        <v>-5.6548668600000003</v>
      </c>
      <c r="M7">
        <f t="shared" si="1"/>
        <v>-5.6548668600000003</v>
      </c>
      <c r="N7">
        <f t="shared" si="3"/>
        <v>-15.833627207999999</v>
      </c>
      <c r="O7">
        <f t="shared" si="4"/>
        <v>0</v>
      </c>
      <c r="P7">
        <v>0</v>
      </c>
      <c r="Q7">
        <v>-10.133520000000221</v>
      </c>
      <c r="R7">
        <v>0</v>
      </c>
      <c r="S7">
        <f t="shared" si="5"/>
        <v>207.35997108363907</v>
      </c>
      <c r="T7">
        <f t="shared" si="6"/>
        <v>-207.35997108363907</v>
      </c>
    </row>
    <row r="8" spans="1:20" x14ac:dyDescent="0.55000000000000004">
      <c r="A8">
        <v>0</v>
      </c>
      <c r="B8">
        <v>0</v>
      </c>
      <c r="C8">
        <v>0</v>
      </c>
      <c r="D8" t="s">
        <v>0</v>
      </c>
      <c r="E8" t="s">
        <v>4</v>
      </c>
      <c r="F8">
        <f t="shared" si="2"/>
        <v>1.2799998215039448</v>
      </c>
      <c r="G8">
        <f t="shared" si="7"/>
        <v>-10.133520000000001</v>
      </c>
      <c r="H8">
        <v>-20</v>
      </c>
      <c r="I8">
        <v>-20</v>
      </c>
      <c r="J8">
        <f>SIGN(H8*G8)*SUMIF(abaqus!A:A,CONCATENATE("=",ABS(H8)),abaqus!B:B)</f>
        <v>2.8274334300000001</v>
      </c>
      <c r="K8">
        <f>SIGN(I8*G8)*SUMIF(abaqus!A:A,CONCATENATE("=",ABS(I8)),abaqus!B:B)</f>
        <v>2.8274334300000001</v>
      </c>
      <c r="L8">
        <f t="shared" si="0"/>
        <v>2.8274334300000001</v>
      </c>
      <c r="M8">
        <f t="shared" si="1"/>
        <v>2.8274334300000001</v>
      </c>
      <c r="N8">
        <f t="shared" si="3"/>
        <v>7.9168136039999997</v>
      </c>
      <c r="O8">
        <f t="shared" si="4"/>
        <v>0</v>
      </c>
      <c r="P8">
        <v>0</v>
      </c>
      <c r="Q8">
        <v>10.133520000001136</v>
      </c>
      <c r="R8">
        <v>0</v>
      </c>
      <c r="S8">
        <f t="shared" si="5"/>
        <v>-207.35997108363907</v>
      </c>
      <c r="T8">
        <f t="shared" si="6"/>
        <v>207.35997108363907</v>
      </c>
    </row>
    <row r="9" spans="1:20" x14ac:dyDescent="0.55000000000000004">
      <c r="A9">
        <v>0</v>
      </c>
      <c r="B9">
        <v>0</v>
      </c>
      <c r="C9">
        <v>0</v>
      </c>
      <c r="D9" t="s">
        <v>0</v>
      </c>
      <c r="E9" t="s">
        <v>4</v>
      </c>
      <c r="F9">
        <f t="shared" si="2"/>
        <v>1.2799998215039448</v>
      </c>
      <c r="G9">
        <f t="shared" si="7"/>
        <v>10.133520000000001</v>
      </c>
      <c r="H9">
        <v>-20</v>
      </c>
      <c r="I9">
        <v>-20</v>
      </c>
      <c r="J9">
        <f>SIGN(H9*G9)*SUMIF(abaqus!A:A,CONCATENATE("=",ABS(H9)),abaqus!B:B)</f>
        <v>-2.8274334300000001</v>
      </c>
      <c r="K9">
        <f>SIGN(I9*G9)*SUMIF(abaqus!A:A,CONCATENATE("=",ABS(I9)),abaqus!B:B)</f>
        <v>-2.8274334300000001</v>
      </c>
      <c r="L9">
        <f t="shared" si="0"/>
        <v>-2.8274334300000001</v>
      </c>
      <c r="M9">
        <f t="shared" si="1"/>
        <v>-2.8274334300000001</v>
      </c>
      <c r="N9">
        <f t="shared" si="3"/>
        <v>-7.9168136039999997</v>
      </c>
      <c r="O9">
        <f t="shared" si="4"/>
        <v>0</v>
      </c>
      <c r="P9">
        <v>0</v>
      </c>
      <c r="Q9">
        <v>-10.133520000001136</v>
      </c>
      <c r="R9">
        <v>0</v>
      </c>
      <c r="S9">
        <f t="shared" si="5"/>
        <v>207.35997108363907</v>
      </c>
      <c r="T9">
        <f t="shared" si="6"/>
        <v>-207.35997108363907</v>
      </c>
    </row>
    <row r="10" spans="1:20" x14ac:dyDescent="0.55000000000000004">
      <c r="A10">
        <v>0</v>
      </c>
      <c r="B10">
        <v>0</v>
      </c>
      <c r="C10">
        <v>0</v>
      </c>
      <c r="D10" t="s">
        <v>0</v>
      </c>
      <c r="E10" t="s">
        <v>4</v>
      </c>
      <c r="F10">
        <f>4*ABS(G10)/(ABS(L10)+ABS(M10))/5.6</f>
        <v>0.31507936000000003</v>
      </c>
      <c r="G10">
        <v>6.2360614089690332</v>
      </c>
      <c r="H10">
        <v>-50</v>
      </c>
      <c r="I10">
        <v>50</v>
      </c>
      <c r="J10">
        <f>SIGN(H10*G10)*SUMIF(abaqus!A:A,CONCATENATE("=",ABS(H10)),abaqus!B:B)</f>
        <v>-7.0685835749999999</v>
      </c>
      <c r="K10">
        <f>SIGN(I10*G10)*SUMIF(abaqus!A:A,CONCATENATE("=",ABS(I10)),abaqus!B:B)</f>
        <v>7.0685835749999999</v>
      </c>
      <c r="L10">
        <f t="shared" si="0"/>
        <v>-7.0685835749999999</v>
      </c>
      <c r="M10">
        <f t="shared" si="1"/>
        <v>7.0685835749999999</v>
      </c>
      <c r="N10">
        <f t="shared" si="3"/>
        <v>0</v>
      </c>
      <c r="O10">
        <f t="shared" si="4"/>
        <v>-4.9853989949622157</v>
      </c>
      <c r="P10">
        <v>-89.999998549119482</v>
      </c>
      <c r="Q10">
        <v>0</v>
      </c>
      <c r="R10">
        <v>0</v>
      </c>
      <c r="S10">
        <f t="shared" si="5"/>
        <v>127.60714080000002</v>
      </c>
      <c r="T10">
        <f t="shared" si="6"/>
        <v>127.60714080000002</v>
      </c>
    </row>
    <row r="11" spans="1:20" x14ac:dyDescent="0.55000000000000004">
      <c r="A11">
        <v>0</v>
      </c>
      <c r="B11">
        <v>0</v>
      </c>
      <c r="C11">
        <v>0</v>
      </c>
      <c r="D11" t="s">
        <v>0</v>
      </c>
      <c r="E11" t="s">
        <v>4</v>
      </c>
      <c r="F11">
        <f>4*ABS(G11)/(ABS(L11)+ABS(M11))/5.6</f>
        <v>0.31507936000000003</v>
      </c>
      <c r="G11">
        <v>6.2360614089690332</v>
      </c>
      <c r="H11">
        <v>50</v>
      </c>
      <c r="I11">
        <v>-50</v>
      </c>
      <c r="J11">
        <f>SIGN(H11*G11)*SUMIF(abaqus!A:A,CONCATENATE("=",ABS(H11)),abaqus!B:B)</f>
        <v>7.0685835749999999</v>
      </c>
      <c r="K11">
        <f>SIGN(I11*G11)*SUMIF(abaqus!A:A,CONCATENATE("=",ABS(I11)),abaqus!B:B)</f>
        <v>-7.0685835749999999</v>
      </c>
      <c r="L11">
        <f t="shared" si="0"/>
        <v>7.0685835749999999</v>
      </c>
      <c r="M11">
        <f t="shared" si="1"/>
        <v>-7.0685835749999999</v>
      </c>
      <c r="N11">
        <f t="shared" si="3"/>
        <v>0</v>
      </c>
      <c r="O11">
        <f t="shared" si="4"/>
        <v>4.9853989949622157</v>
      </c>
      <c r="P11">
        <v>89.999998549119482</v>
      </c>
      <c r="Q11">
        <v>0</v>
      </c>
      <c r="R11">
        <v>0</v>
      </c>
      <c r="S11">
        <f t="shared" si="5"/>
        <v>-127.60714080000002</v>
      </c>
      <c r="T11">
        <f t="shared" si="6"/>
        <v>-127.60714080000002</v>
      </c>
    </row>
    <row r="12" spans="1:20" x14ac:dyDescent="0.55000000000000004">
      <c r="A12">
        <v>0</v>
      </c>
      <c r="B12">
        <v>0</v>
      </c>
      <c r="C12">
        <v>0</v>
      </c>
      <c r="D12" t="s">
        <v>0</v>
      </c>
      <c r="E12" t="s">
        <v>4</v>
      </c>
      <c r="F12">
        <f t="shared" si="2"/>
        <v>0.63015872000000006</v>
      </c>
      <c r="G12">
        <f>-2*G10</f>
        <v>-12.472122817938066</v>
      </c>
      <c r="H12">
        <v>-50</v>
      </c>
      <c r="I12">
        <v>50</v>
      </c>
      <c r="J12">
        <f>SIGN(H12*G12)*SUMIF(abaqus!A:A,CONCATENATE("=",ABS(H12)),abaqus!B:B)</f>
        <v>7.0685835749999999</v>
      </c>
      <c r="K12">
        <f>SIGN(I12*G12)*SUMIF(abaqus!A:A,CONCATENATE("=",ABS(I12)),abaqus!B:B)</f>
        <v>-7.0685835749999999</v>
      </c>
      <c r="L12">
        <f t="shared" si="0"/>
        <v>7.0685835749999999</v>
      </c>
      <c r="M12">
        <f t="shared" si="1"/>
        <v>-7.0685835749999999</v>
      </c>
      <c r="N12">
        <f t="shared" si="3"/>
        <v>0</v>
      </c>
      <c r="O12">
        <f t="shared" si="4"/>
        <v>4.9853989949622157</v>
      </c>
      <c r="P12">
        <v>179.99999709823979</v>
      </c>
      <c r="Q12">
        <v>0</v>
      </c>
      <c r="R12">
        <v>0</v>
      </c>
      <c r="S12">
        <f t="shared" si="5"/>
        <v>-255.21428160000005</v>
      </c>
      <c r="T12">
        <f t="shared" si="6"/>
        <v>-255.21428160000005</v>
      </c>
    </row>
    <row r="13" spans="1:20" x14ac:dyDescent="0.55000000000000004">
      <c r="A13">
        <v>0</v>
      </c>
      <c r="B13">
        <v>0</v>
      </c>
      <c r="C13">
        <v>0</v>
      </c>
      <c r="D13" t="s">
        <v>0</v>
      </c>
      <c r="E13" t="s">
        <v>4</v>
      </c>
      <c r="F13">
        <f t="shared" si="2"/>
        <v>1.5753968</v>
      </c>
      <c r="G13">
        <f>5*G10</f>
        <v>31.180307044845165</v>
      </c>
      <c r="H13">
        <v>50</v>
      </c>
      <c r="I13">
        <v>-50</v>
      </c>
      <c r="J13">
        <f>SIGN(H13*G13)*SUMIF(abaqus!A:A,CONCATENATE("=",ABS(H13)),abaqus!B:B)</f>
        <v>7.0685835749999999</v>
      </c>
      <c r="K13">
        <f>SIGN(I13*G13)*SUMIF(abaqus!A:A,CONCATENATE("=",ABS(I13)),abaqus!B:B)</f>
        <v>-7.0685835749999999</v>
      </c>
      <c r="L13">
        <f t="shared" si="0"/>
        <v>7.0685835749999999</v>
      </c>
      <c r="M13">
        <f t="shared" si="1"/>
        <v>-7.0685835749999999</v>
      </c>
      <c r="N13">
        <f t="shared" si="3"/>
        <v>0</v>
      </c>
      <c r="O13">
        <f t="shared" si="4"/>
        <v>4.9853989949622157</v>
      </c>
      <c r="P13">
        <v>449.99999274565096</v>
      </c>
      <c r="Q13">
        <v>0</v>
      </c>
      <c r="R13">
        <v>0</v>
      </c>
      <c r="S13">
        <f t="shared" si="5"/>
        <v>-638.03570400000001</v>
      </c>
      <c r="T13">
        <f t="shared" si="6"/>
        <v>-638.03570400000001</v>
      </c>
    </row>
    <row r="14" spans="1:20" x14ac:dyDescent="0.55000000000000004">
      <c r="A14">
        <v>-20</v>
      </c>
      <c r="B14">
        <v>35</v>
      </c>
      <c r="C14">
        <v>0</v>
      </c>
      <c r="D14" t="s">
        <v>0</v>
      </c>
      <c r="E14" t="s">
        <v>4</v>
      </c>
      <c r="F14">
        <f t="shared" si="2"/>
        <v>0.63156722516161445</v>
      </c>
      <c r="G14">
        <v>5</v>
      </c>
      <c r="H14">
        <v>20</v>
      </c>
      <c r="I14">
        <v>20</v>
      </c>
      <c r="J14">
        <f>SIGN(H14*G14)*SUMIF(abaqus!A:A,CONCATENATE("=",ABS(H14)),abaqus!B:B)</f>
        <v>2.8274334300000001</v>
      </c>
      <c r="K14">
        <f>SIGN(I14*G14)*SUMIF(abaqus!A:A,CONCATENATE("=",ABS(I14)),abaqus!B:B)</f>
        <v>2.8274334300000001</v>
      </c>
      <c r="L14">
        <f t="shared" si="0"/>
        <v>2.8274334300000001</v>
      </c>
      <c r="M14">
        <f t="shared" si="1"/>
        <v>2.8274334300000001</v>
      </c>
      <c r="N14">
        <f t="shared" si="3"/>
        <v>7.9168136039999997</v>
      </c>
      <c r="O14">
        <f t="shared" si="4"/>
        <v>0</v>
      </c>
      <c r="P14">
        <v>0</v>
      </c>
      <c r="Q14">
        <v>-15.00000000000057</v>
      </c>
      <c r="R14">
        <v>35</v>
      </c>
      <c r="S14">
        <f t="shared" si="5"/>
        <v>-102.31389047618156</v>
      </c>
      <c r="T14">
        <f t="shared" si="6"/>
        <v>102.31389047618156</v>
      </c>
    </row>
    <row r="15" spans="1:20" x14ac:dyDescent="0.55000000000000004">
      <c r="A15">
        <v>-20</v>
      </c>
      <c r="B15">
        <v>35</v>
      </c>
      <c r="C15">
        <f>3.1415927/2</f>
        <v>1.57079635</v>
      </c>
      <c r="D15" t="s">
        <v>0</v>
      </c>
      <c r="E15" t="s">
        <v>4</v>
      </c>
      <c r="F15">
        <f t="shared" si="2"/>
        <v>0.63156722516161445</v>
      </c>
      <c r="G15">
        <v>5</v>
      </c>
      <c r="H15">
        <v>20</v>
      </c>
      <c r="I15">
        <v>20</v>
      </c>
      <c r="J15">
        <f>SIGN(H15*G15)*SUMIF(abaqus!A:A,CONCATENATE("=",ABS(H15)),abaqus!B:B)</f>
        <v>2.8274334300000001</v>
      </c>
      <c r="K15">
        <f>SIGN(I15*G15)*SUMIF(abaqus!A:A,CONCATENATE("=",ABS(I15)),abaqus!B:B)</f>
        <v>2.8274334300000001</v>
      </c>
      <c r="L15">
        <f t="shared" si="0"/>
        <v>2.8274334300000001</v>
      </c>
      <c r="M15">
        <f t="shared" si="1"/>
        <v>2.8274334300000001</v>
      </c>
      <c r="N15">
        <f t="shared" si="3"/>
        <v>7.9168136039999997</v>
      </c>
      <c r="O15">
        <f t="shared" si="4"/>
        <v>0</v>
      </c>
      <c r="P15">
        <v>90</v>
      </c>
      <c r="Q15">
        <v>-20.000000116025735</v>
      </c>
      <c r="R15">
        <v>39.999999999998977</v>
      </c>
      <c r="S15">
        <f t="shared" si="5"/>
        <v>-102.31389047618156</v>
      </c>
      <c r="T15">
        <f t="shared" si="6"/>
        <v>102.31389047618156</v>
      </c>
    </row>
    <row r="16" spans="1:20" x14ac:dyDescent="0.55000000000000004">
      <c r="A16">
        <v>-20</v>
      </c>
      <c r="B16">
        <v>35</v>
      </c>
      <c r="C16">
        <f>-3.1415927/2</f>
        <v>-1.57079635</v>
      </c>
      <c r="D16" t="s">
        <v>0</v>
      </c>
      <c r="E16" t="s">
        <v>4</v>
      </c>
      <c r="F16">
        <f t="shared" si="2"/>
        <v>0.63156722516161445</v>
      </c>
      <c r="G16">
        <v>5</v>
      </c>
      <c r="H16">
        <v>20</v>
      </c>
      <c r="I16">
        <v>20</v>
      </c>
      <c r="J16">
        <f>SIGN(H16*G16)*SUMIF(abaqus!A:A,CONCATENATE("=",ABS(H16)),abaqus!B:B)</f>
        <v>2.8274334300000001</v>
      </c>
      <c r="K16">
        <f>SIGN(I16*G16)*SUMIF(abaqus!A:A,CONCATENATE("=",ABS(I16)),abaqus!B:B)</f>
        <v>2.8274334300000001</v>
      </c>
      <c r="L16">
        <f t="shared" si="0"/>
        <v>2.8274334300000001</v>
      </c>
      <c r="M16">
        <f t="shared" si="1"/>
        <v>2.8274334300000001</v>
      </c>
      <c r="N16">
        <f t="shared" si="3"/>
        <v>7.9168136039999997</v>
      </c>
      <c r="O16">
        <f t="shared" si="4"/>
        <v>0</v>
      </c>
      <c r="P16">
        <v>-90</v>
      </c>
      <c r="Q16">
        <v>-20.000000116025735</v>
      </c>
      <c r="R16">
        <v>30.00000000000102</v>
      </c>
      <c r="S16">
        <f t="shared" si="5"/>
        <v>-102.31389047618156</v>
      </c>
      <c r="T16">
        <f t="shared" si="6"/>
        <v>102.31389047618156</v>
      </c>
    </row>
    <row r="17" spans="1:20" x14ac:dyDescent="0.55000000000000004">
      <c r="A17">
        <v>-20</v>
      </c>
      <c r="B17">
        <v>35</v>
      </c>
      <c r="C17">
        <f>3.1415927</f>
        <v>3.1415926999999999</v>
      </c>
      <c r="D17" t="s">
        <v>0</v>
      </c>
      <c r="E17" t="s">
        <v>4</v>
      </c>
      <c r="F17">
        <f t="shared" si="2"/>
        <v>0.63156722516161445</v>
      </c>
      <c r="G17">
        <v>5</v>
      </c>
      <c r="H17">
        <v>20</v>
      </c>
      <c r="I17">
        <v>20</v>
      </c>
      <c r="J17">
        <f>SIGN(H17*G17)*SUMIF(abaqus!A:A,CONCATENATE("=",ABS(H17)),abaqus!B:B)</f>
        <v>2.8274334300000001</v>
      </c>
      <c r="K17">
        <f>SIGN(I17*G17)*SUMIF(abaqus!A:A,CONCATENATE("=",ABS(I17)),abaqus!B:B)</f>
        <v>2.8274334300000001</v>
      </c>
      <c r="L17">
        <f t="shared" si="0"/>
        <v>2.8274334300000001</v>
      </c>
      <c r="M17">
        <f t="shared" si="1"/>
        <v>2.8274334300000001</v>
      </c>
      <c r="N17">
        <f t="shared" si="3"/>
        <v>7.9168136039999997</v>
      </c>
      <c r="O17">
        <f t="shared" si="4"/>
        <v>0</v>
      </c>
      <c r="P17">
        <v>180</v>
      </c>
      <c r="Q17">
        <v>-24.99999999999898</v>
      </c>
      <c r="R17">
        <v>34.99999976794853</v>
      </c>
      <c r="S17">
        <f t="shared" si="5"/>
        <v>-102.31389047618156</v>
      </c>
      <c r="T17">
        <f t="shared" si="6"/>
        <v>102.31389047618156</v>
      </c>
    </row>
    <row r="18" spans="1:20" x14ac:dyDescent="0.55000000000000004">
      <c r="A18">
        <v>-20</v>
      </c>
      <c r="B18">
        <v>35</v>
      </c>
      <c r="C18">
        <v>0</v>
      </c>
      <c r="D18" t="s">
        <v>0</v>
      </c>
      <c r="E18" t="s">
        <v>4</v>
      </c>
      <c r="F18">
        <f t="shared" si="2"/>
        <v>0.25262689006464578</v>
      </c>
      <c r="G18">
        <v>5</v>
      </c>
      <c r="H18">
        <v>-50</v>
      </c>
      <c r="I18">
        <v>50</v>
      </c>
      <c r="J18">
        <f>SIGN(H18*G18)*SUMIF(abaqus!A:A,CONCATENATE("=",ABS(H18)),abaqus!B:B)</f>
        <v>-7.0685835749999999</v>
      </c>
      <c r="K18">
        <f>SIGN(I18*G18)*SUMIF(abaqus!A:A,CONCATENATE("=",ABS(I18)),abaqus!B:B)</f>
        <v>7.0685835749999999</v>
      </c>
      <c r="L18">
        <f t="shared" si="0"/>
        <v>-7.0685835749999999</v>
      </c>
      <c r="M18">
        <f t="shared" si="1"/>
        <v>7.0685835749999999</v>
      </c>
      <c r="N18">
        <f t="shared" si="3"/>
        <v>0</v>
      </c>
      <c r="O18">
        <f t="shared" si="4"/>
        <v>-4.9853989949622157</v>
      </c>
      <c r="P18">
        <v>-72.160930310657378</v>
      </c>
      <c r="Q18">
        <v>-20</v>
      </c>
      <c r="R18">
        <v>35</v>
      </c>
      <c r="S18">
        <f t="shared" si="5"/>
        <v>102.31389047618154</v>
      </c>
      <c r="T18">
        <f t="shared" si="6"/>
        <v>102.31389047618154</v>
      </c>
    </row>
    <row r="19" spans="1:20" x14ac:dyDescent="0.55000000000000004">
      <c r="A19">
        <v>-20</v>
      </c>
      <c r="B19">
        <v>35</v>
      </c>
      <c r="C19">
        <f>3.1415927/2</f>
        <v>1.57079635</v>
      </c>
      <c r="D19" t="s">
        <v>0</v>
      </c>
      <c r="E19" t="s">
        <v>4</v>
      </c>
      <c r="F19">
        <f t="shared" si="2"/>
        <v>0.25262689006464578</v>
      </c>
      <c r="G19">
        <v>5</v>
      </c>
      <c r="H19">
        <v>-50</v>
      </c>
      <c r="I19">
        <v>50</v>
      </c>
      <c r="J19">
        <f>SIGN(H19*G19)*SUMIF(abaqus!A:A,CONCATENATE("=",ABS(H19)),abaqus!B:B)</f>
        <v>-7.0685835749999999</v>
      </c>
      <c r="K19">
        <f>SIGN(I19*G19)*SUMIF(abaqus!A:A,CONCATENATE("=",ABS(I19)),abaqus!B:B)</f>
        <v>7.0685835749999999</v>
      </c>
      <c r="L19">
        <f t="shared" si="0"/>
        <v>-7.0685835749999999</v>
      </c>
      <c r="M19">
        <f t="shared" si="1"/>
        <v>7.0685835749999999</v>
      </c>
      <c r="N19">
        <f t="shared" si="3"/>
        <v>0</v>
      </c>
      <c r="O19">
        <f t="shared" si="4"/>
        <v>-4.9853989949622157</v>
      </c>
      <c r="P19">
        <v>17.839069689341859</v>
      </c>
      <c r="Q19">
        <v>-20</v>
      </c>
      <c r="R19">
        <v>35</v>
      </c>
      <c r="S19">
        <f t="shared" si="5"/>
        <v>102.31389047618154</v>
      </c>
      <c r="T19">
        <f t="shared" si="6"/>
        <v>102.31389047618154</v>
      </c>
    </row>
    <row r="20" spans="1:20" x14ac:dyDescent="0.55000000000000004">
      <c r="A20">
        <v>-20</v>
      </c>
      <c r="B20">
        <v>35</v>
      </c>
      <c r="C20">
        <f>-3.1415927/2</f>
        <v>-1.57079635</v>
      </c>
      <c r="D20" t="s">
        <v>0</v>
      </c>
      <c r="E20" t="s">
        <v>4</v>
      </c>
      <c r="F20">
        <f t="shared" si="2"/>
        <v>0.25262689006464578</v>
      </c>
      <c r="G20">
        <v>5</v>
      </c>
      <c r="H20">
        <v>-50</v>
      </c>
      <c r="I20">
        <v>50</v>
      </c>
      <c r="J20">
        <f>SIGN(H20*G20)*SUMIF(abaqus!A:A,CONCATENATE("=",ABS(H20)),abaqus!B:B)</f>
        <v>-7.0685835749999999</v>
      </c>
      <c r="K20">
        <f>SIGN(I20*G20)*SUMIF(abaqus!A:A,CONCATENATE("=",ABS(I20)),abaqus!B:B)</f>
        <v>7.0685835749999999</v>
      </c>
      <c r="L20">
        <f t="shared" si="0"/>
        <v>-7.0685835749999999</v>
      </c>
      <c r="M20">
        <f t="shared" si="1"/>
        <v>7.0685835749999999</v>
      </c>
      <c r="N20">
        <f t="shared" si="3"/>
        <v>0</v>
      </c>
      <c r="O20">
        <f t="shared" si="4"/>
        <v>-4.9853989949622157</v>
      </c>
      <c r="P20">
        <v>-162.16093031065569</v>
      </c>
      <c r="Q20">
        <v>-20</v>
      </c>
      <c r="R20">
        <v>35</v>
      </c>
      <c r="S20">
        <f t="shared" si="5"/>
        <v>102.31389047618154</v>
      </c>
      <c r="T20">
        <f t="shared" si="6"/>
        <v>102.31389047618154</v>
      </c>
    </row>
    <row r="21" spans="1:20" x14ac:dyDescent="0.55000000000000004">
      <c r="A21">
        <v>-20</v>
      </c>
      <c r="B21">
        <v>35</v>
      </c>
      <c r="C21">
        <f>3.1415927</f>
        <v>3.1415926999999999</v>
      </c>
      <c r="D21" t="s">
        <v>0</v>
      </c>
      <c r="E21" t="s">
        <v>4</v>
      </c>
      <c r="F21">
        <f t="shared" si="2"/>
        <v>0.25262689006464578</v>
      </c>
      <c r="G21">
        <v>5</v>
      </c>
      <c r="H21">
        <v>-50</v>
      </c>
      <c r="I21">
        <v>50</v>
      </c>
      <c r="J21">
        <f>SIGN(H21*G21)*SUMIF(abaqus!A:A,CONCATENATE("=",ABS(H21)),abaqus!B:B)</f>
        <v>-7.0685835749999999</v>
      </c>
      <c r="K21">
        <f>SIGN(I21*G21)*SUMIF(abaqus!A:A,CONCATENATE("=",ABS(I21)),abaqus!B:B)</f>
        <v>7.0685835749999999</v>
      </c>
      <c r="L21">
        <f t="shared" si="0"/>
        <v>-7.0685835749999999</v>
      </c>
      <c r="M21">
        <f t="shared" si="1"/>
        <v>7.0685835749999999</v>
      </c>
      <c r="N21">
        <f t="shared" si="3"/>
        <v>0</v>
      </c>
      <c r="O21">
        <f t="shared" si="4"/>
        <v>-4.9853989949622157</v>
      </c>
      <c r="P21">
        <v>107.83906968934592</v>
      </c>
      <c r="Q21">
        <v>-20</v>
      </c>
      <c r="R21">
        <v>35</v>
      </c>
      <c r="S21">
        <f t="shared" si="5"/>
        <v>102.31389047618154</v>
      </c>
      <c r="T21">
        <f t="shared" si="6"/>
        <v>102.31389047618154</v>
      </c>
    </row>
    <row r="22" spans="1:20" x14ac:dyDescent="0.55000000000000004">
      <c r="A22">
        <v>-20</v>
      </c>
      <c r="B22">
        <v>35</v>
      </c>
      <c r="C22">
        <v>0</v>
      </c>
      <c r="D22" t="s">
        <v>0</v>
      </c>
      <c r="E22" t="s">
        <v>4</v>
      </c>
      <c r="F22">
        <f t="shared" si="2"/>
        <v>0.50525378012929156</v>
      </c>
      <c r="G22">
        <v>5</v>
      </c>
      <c r="H22">
        <v>50</v>
      </c>
      <c r="I22">
        <v>0</v>
      </c>
      <c r="J22">
        <f>SIGN(H22*G22)*SUMIF(abaqus!A:A,CONCATENATE("=",ABS(H22)),abaqus!B:B)</f>
        <v>7.0685835749999999</v>
      </c>
      <c r="K22">
        <f>SIGN(I22*G22)*SUMIF(abaqus!A:A,CONCATENATE("=",ABS(I22)),abaqus!B:B)</f>
        <v>0</v>
      </c>
      <c r="L22">
        <f t="shared" si="0"/>
        <v>7.0685835749999999</v>
      </c>
      <c r="M22">
        <f t="shared" si="1"/>
        <v>0</v>
      </c>
      <c r="N22">
        <f t="shared" si="3"/>
        <v>9.8960170049999991</v>
      </c>
      <c r="O22">
        <f t="shared" si="4"/>
        <v>2.4926994974811079</v>
      </c>
      <c r="P22">
        <v>72.160930310657406</v>
      </c>
      <c r="Q22">
        <v>-16.220873720803027</v>
      </c>
      <c r="R22">
        <v>37.753812395930019</v>
      </c>
      <c r="S22">
        <f t="shared" si="5"/>
        <v>-204.62778095236308</v>
      </c>
      <c r="T22">
        <f t="shared" si="6"/>
        <v>0</v>
      </c>
    </row>
    <row r="23" spans="1:20" x14ac:dyDescent="0.55000000000000004">
      <c r="A23">
        <v>-20</v>
      </c>
      <c r="B23">
        <v>35</v>
      </c>
      <c r="C23">
        <f>3.1415927/2</f>
        <v>1.57079635</v>
      </c>
      <c r="D23" t="s">
        <v>0</v>
      </c>
      <c r="E23" t="s">
        <v>4</v>
      </c>
      <c r="F23">
        <f t="shared" si="2"/>
        <v>0.50525378012929156</v>
      </c>
      <c r="G23">
        <v>5</v>
      </c>
      <c r="H23">
        <v>50</v>
      </c>
      <c r="I23">
        <v>0</v>
      </c>
      <c r="J23">
        <f>SIGN(H23*G23)*SUMIF(abaqus!A:A,CONCATENATE("=",ABS(H23)),abaqus!B:B)</f>
        <v>7.0685835749999999</v>
      </c>
      <c r="K23">
        <f>SIGN(I23*G23)*SUMIF(abaqus!A:A,CONCATENATE("=",ABS(I23)),abaqus!B:B)</f>
        <v>0</v>
      </c>
      <c r="L23">
        <f t="shared" si="0"/>
        <v>7.0685835749999999</v>
      </c>
      <c r="M23">
        <f t="shared" si="1"/>
        <v>0</v>
      </c>
      <c r="N23">
        <f t="shared" si="3"/>
        <v>9.8960170049999991</v>
      </c>
      <c r="O23">
        <f t="shared" si="4"/>
        <v>2.4926994974811079</v>
      </c>
      <c r="P23">
        <v>162.16093031066202</v>
      </c>
      <c r="Q23">
        <v>-22.753812483625001</v>
      </c>
      <c r="R23">
        <v>38.77912621529449</v>
      </c>
      <c r="S23">
        <f t="shared" si="5"/>
        <v>-204.62778095236308</v>
      </c>
      <c r="T23">
        <f t="shared" si="6"/>
        <v>0</v>
      </c>
    </row>
    <row r="24" spans="1:20" x14ac:dyDescent="0.55000000000000004">
      <c r="A24">
        <v>-20</v>
      </c>
      <c r="B24">
        <v>35</v>
      </c>
      <c r="C24">
        <f>-3.1415927/2</f>
        <v>-1.57079635</v>
      </c>
      <c r="D24" t="s">
        <v>0</v>
      </c>
      <c r="E24" t="s">
        <v>4</v>
      </c>
      <c r="F24">
        <f t="shared" si="2"/>
        <v>0.50525378012929156</v>
      </c>
      <c r="G24">
        <v>5</v>
      </c>
      <c r="H24">
        <v>50</v>
      </c>
      <c r="I24">
        <v>0</v>
      </c>
      <c r="J24">
        <f>SIGN(H24*G24)*SUMIF(abaqus!A:A,CONCATENATE("=",ABS(H24)),abaqus!B:B)</f>
        <v>7.0685835749999999</v>
      </c>
      <c r="K24">
        <f>SIGN(I24*G24)*SUMIF(abaqus!A:A,CONCATENATE("=",ABS(I24)),abaqus!B:B)</f>
        <v>0</v>
      </c>
      <c r="L24">
        <f t="shared" si="0"/>
        <v>7.0685835749999999</v>
      </c>
      <c r="M24">
        <f t="shared" si="1"/>
        <v>0</v>
      </c>
      <c r="N24">
        <f t="shared" si="3"/>
        <v>9.8960170049999991</v>
      </c>
      <c r="O24">
        <f t="shared" si="4"/>
        <v>2.4926994974811079</v>
      </c>
      <c r="P24">
        <v>-17.839069689343408</v>
      </c>
      <c r="Q24">
        <v>-17.246187691765137</v>
      </c>
      <c r="R24">
        <v>31.220873656900519</v>
      </c>
      <c r="S24">
        <f t="shared" si="5"/>
        <v>-204.62778095236308</v>
      </c>
      <c r="T24">
        <f t="shared" si="6"/>
        <v>0</v>
      </c>
    </row>
    <row r="25" spans="1:20" x14ac:dyDescent="0.55000000000000004">
      <c r="A25">
        <v>-20</v>
      </c>
      <c r="B25">
        <v>35</v>
      </c>
      <c r="C25">
        <f>3.1415927</f>
        <v>3.1415926999999999</v>
      </c>
      <c r="D25" t="s">
        <v>0</v>
      </c>
      <c r="E25" t="s">
        <v>4</v>
      </c>
      <c r="F25">
        <f t="shared" si="2"/>
        <v>0.50525378012929156</v>
      </c>
      <c r="G25">
        <v>5</v>
      </c>
      <c r="H25">
        <v>50</v>
      </c>
      <c r="I25">
        <v>0</v>
      </c>
      <c r="J25">
        <f>SIGN(H25*G25)*SUMIF(abaqus!A:A,CONCATENATE("=",ABS(H25)),abaqus!B:B)</f>
        <v>7.0685835749999999</v>
      </c>
      <c r="K25">
        <f>SIGN(I25*G25)*SUMIF(abaqus!A:A,CONCATENATE("=",ABS(I25)),abaqus!B:B)</f>
        <v>0</v>
      </c>
      <c r="L25">
        <f t="shared" si="0"/>
        <v>7.0685835749999999</v>
      </c>
      <c r="M25">
        <f t="shared" si="1"/>
        <v>0</v>
      </c>
      <c r="N25">
        <f t="shared" si="3"/>
        <v>9.8960170049999991</v>
      </c>
      <c r="O25">
        <f t="shared" si="4"/>
        <v>2.4926994974811079</v>
      </c>
      <c r="P25">
        <v>252.16093031065822</v>
      </c>
      <c r="Q25">
        <v>-23.779126151391846</v>
      </c>
      <c r="R25">
        <v>32.24618742867974</v>
      </c>
      <c r="S25">
        <f t="shared" si="5"/>
        <v>-204.62778095236308</v>
      </c>
      <c r="T25">
        <f t="shared" si="6"/>
        <v>0</v>
      </c>
    </row>
    <row r="26" spans="1:20" x14ac:dyDescent="0.55000000000000004">
      <c r="A26">
        <v>0</v>
      </c>
      <c r="B26">
        <v>0</v>
      </c>
      <c r="C26">
        <v>0</v>
      </c>
      <c r="D26" t="s">
        <v>4</v>
      </c>
      <c r="E26" t="s">
        <v>0</v>
      </c>
      <c r="F26">
        <f>4*ABS(G26)/(ABS(L26)+ABS(M26))/5.6</f>
        <v>0.63999991075197238</v>
      </c>
      <c r="G26">
        <v>5.0667600000000004</v>
      </c>
      <c r="H26">
        <v>20</v>
      </c>
      <c r="I26">
        <v>20</v>
      </c>
      <c r="J26">
        <f>SIGN(H26*G26)*SUMIF(abaqus!A:A,CONCATENATE("=",ABS(H26)),abaqus!B:B)</f>
        <v>2.8274334300000001</v>
      </c>
      <c r="K26">
        <f>SIGN(I26*G26)*SUMIF(abaqus!A:A,CONCATENATE("=",ABS(I26)),abaqus!B:B)</f>
        <v>2.8274334300000001</v>
      </c>
      <c r="L26">
        <f>IF(D26="E",J26,0)+IF(E26="E",-K26,0)</f>
        <v>-2.8274334300000001</v>
      </c>
      <c r="M26">
        <f>IF(D26="F",-J26,0)+IF(E26="F",K26,0)</f>
        <v>-2.8274334300000001</v>
      </c>
      <c r="N26">
        <f>(L26+M26)*0.5*5.6/2</f>
        <v>-7.9168136039999997</v>
      </c>
      <c r="O26">
        <f>(L26-M26)/3.97/2*5.6/2</f>
        <v>0</v>
      </c>
      <c r="P26">
        <v>0</v>
      </c>
      <c r="Q26">
        <v>-5.0667600000001105</v>
      </c>
      <c r="R26">
        <v>0</v>
      </c>
      <c r="S26">
        <f>-L26*$F26/3.1415927*180</f>
        <v>103.67998554181953</v>
      </c>
      <c r="T26">
        <f>M26*$F26/3.1415927*180</f>
        <v>-103.67998554181953</v>
      </c>
    </row>
    <row r="27" spans="1:20" x14ac:dyDescent="0.55000000000000004">
      <c r="A27">
        <v>0</v>
      </c>
      <c r="B27">
        <v>0</v>
      </c>
      <c r="C27">
        <v>0</v>
      </c>
      <c r="D27" t="s">
        <v>4</v>
      </c>
      <c r="E27" t="s">
        <v>0</v>
      </c>
      <c r="F27">
        <f t="shared" ref="F27:F49" si="8">4*ABS(G27)/(ABS(L27)+ABS(M27))/5.6</f>
        <v>0.63999991075197238</v>
      </c>
      <c r="G27">
        <v>-5.0667600000000004</v>
      </c>
      <c r="H27">
        <v>20</v>
      </c>
      <c r="I27">
        <v>20</v>
      </c>
      <c r="J27">
        <f>SIGN(H27*G27)*SUMIF(abaqus!A:A,CONCATENATE("=",ABS(H27)),abaqus!B:B)</f>
        <v>-2.8274334300000001</v>
      </c>
      <c r="K27">
        <f>SIGN(I27*G27)*SUMIF(abaqus!A:A,CONCATENATE("=",ABS(I27)),abaqus!B:B)</f>
        <v>-2.8274334300000001</v>
      </c>
      <c r="L27">
        <f t="shared" ref="L27:L49" si="9">IF(D27="E",J27,0)+IF(E27="E",-K27,0)</f>
        <v>2.8274334300000001</v>
      </c>
      <c r="M27">
        <f t="shared" ref="M27:M49" si="10">IF(D27="F",-J27,0)+IF(E27="F",K27,0)</f>
        <v>2.8274334300000001</v>
      </c>
      <c r="N27">
        <f t="shared" ref="N27:N49" si="11">(L27+M27)*0.5*5.6/2</f>
        <v>7.9168136039999997</v>
      </c>
      <c r="O27">
        <f t="shared" ref="O27:O49" si="12">(L27-M27)/3.97/2*5.6/2</f>
        <v>0</v>
      </c>
      <c r="P27">
        <v>0</v>
      </c>
      <c r="Q27">
        <v>5.0667600000001105</v>
      </c>
      <c r="R27">
        <v>0</v>
      </c>
      <c r="S27">
        <f t="shared" ref="S27:S49" si="13">-L27*$F27/3.1415927*180</f>
        <v>-103.67998554181953</v>
      </c>
      <c r="T27">
        <f t="shared" ref="T27:T49" si="14">M27*$F27/3.1415927*180</f>
        <v>103.67998554181953</v>
      </c>
    </row>
    <row r="28" spans="1:20" x14ac:dyDescent="0.55000000000000004">
      <c r="A28">
        <v>0</v>
      </c>
      <c r="B28">
        <v>0</v>
      </c>
      <c r="C28">
        <v>0</v>
      </c>
      <c r="D28" t="s">
        <v>4</v>
      </c>
      <c r="E28" t="s">
        <v>0</v>
      </c>
      <c r="F28">
        <f t="shared" si="8"/>
        <v>0.63999991075197238</v>
      </c>
      <c r="G28">
        <v>-5.0667600000000004</v>
      </c>
      <c r="H28">
        <v>-20</v>
      </c>
      <c r="I28">
        <v>-20</v>
      </c>
      <c r="J28">
        <f>SIGN(H28*G28)*SUMIF(abaqus!A:A,CONCATENATE("=",ABS(H28)),abaqus!B:B)</f>
        <v>2.8274334300000001</v>
      </c>
      <c r="K28">
        <f>SIGN(I28*G28)*SUMIF(abaqus!A:A,CONCATENATE("=",ABS(I28)),abaqus!B:B)</f>
        <v>2.8274334300000001</v>
      </c>
      <c r="L28">
        <f t="shared" si="9"/>
        <v>-2.8274334300000001</v>
      </c>
      <c r="M28">
        <f t="shared" si="10"/>
        <v>-2.8274334300000001</v>
      </c>
      <c r="N28">
        <f t="shared" si="11"/>
        <v>-7.9168136039999997</v>
      </c>
      <c r="O28">
        <f t="shared" si="12"/>
        <v>0</v>
      </c>
      <c r="P28">
        <v>0</v>
      </c>
      <c r="Q28">
        <v>-5.0667600000001105</v>
      </c>
      <c r="R28">
        <v>0</v>
      </c>
      <c r="S28">
        <f t="shared" si="13"/>
        <v>103.67998554181953</v>
      </c>
      <c r="T28">
        <f t="shared" si="14"/>
        <v>-103.67998554181953</v>
      </c>
    </row>
    <row r="29" spans="1:20" x14ac:dyDescent="0.55000000000000004">
      <c r="A29">
        <v>0</v>
      </c>
      <c r="B29">
        <v>0</v>
      </c>
      <c r="C29">
        <v>0</v>
      </c>
      <c r="D29" t="s">
        <v>4</v>
      </c>
      <c r="E29" t="s">
        <v>0</v>
      </c>
      <c r="F29">
        <f t="shared" si="8"/>
        <v>0.63999991075197238</v>
      </c>
      <c r="G29">
        <v>5.0667600000000004</v>
      </c>
      <c r="H29">
        <v>-20</v>
      </c>
      <c r="I29">
        <v>-20</v>
      </c>
      <c r="J29">
        <f>SIGN(H29*G29)*SUMIF(abaqus!A:A,CONCATENATE("=",ABS(H29)),abaqus!B:B)</f>
        <v>-2.8274334300000001</v>
      </c>
      <c r="K29">
        <f>SIGN(I29*G29)*SUMIF(abaqus!A:A,CONCATENATE("=",ABS(I29)),abaqus!B:B)</f>
        <v>-2.8274334300000001</v>
      </c>
      <c r="L29">
        <f t="shared" si="9"/>
        <v>2.8274334300000001</v>
      </c>
      <c r="M29">
        <f t="shared" si="10"/>
        <v>2.8274334300000001</v>
      </c>
      <c r="N29">
        <f t="shared" si="11"/>
        <v>7.9168136039999997</v>
      </c>
      <c r="O29">
        <f t="shared" si="12"/>
        <v>0</v>
      </c>
      <c r="P29">
        <v>0</v>
      </c>
      <c r="Q29">
        <v>5.0667600000001105</v>
      </c>
      <c r="R29">
        <v>0</v>
      </c>
      <c r="S29">
        <f t="shared" si="13"/>
        <v>-103.67998554181953</v>
      </c>
      <c r="T29">
        <f t="shared" si="14"/>
        <v>103.67998554181953</v>
      </c>
    </row>
    <row r="30" spans="1:20" x14ac:dyDescent="0.55000000000000004">
      <c r="A30">
        <v>0</v>
      </c>
      <c r="B30">
        <v>0</v>
      </c>
      <c r="C30">
        <v>0</v>
      </c>
      <c r="D30" t="s">
        <v>4</v>
      </c>
      <c r="E30" t="s">
        <v>0</v>
      </c>
      <c r="F30">
        <f t="shared" si="8"/>
        <v>0.63999991075197238</v>
      </c>
      <c r="G30">
        <f>2*G26</f>
        <v>10.133520000000001</v>
      </c>
      <c r="H30">
        <v>40</v>
      </c>
      <c r="I30">
        <v>40</v>
      </c>
      <c r="J30">
        <f>SIGN(H30*G30)*SUMIF(abaqus!A:A,CONCATENATE("=",ABS(H30)),abaqus!B:B)</f>
        <v>5.6548668600000003</v>
      </c>
      <c r="K30">
        <f>SIGN(I30*G30)*SUMIF(abaqus!A:A,CONCATENATE("=",ABS(I30)),abaqus!B:B)</f>
        <v>5.6548668600000003</v>
      </c>
      <c r="L30">
        <f t="shared" si="9"/>
        <v>-5.6548668600000003</v>
      </c>
      <c r="M30">
        <f t="shared" si="10"/>
        <v>-5.6548668600000003</v>
      </c>
      <c r="N30">
        <f t="shared" si="11"/>
        <v>-15.833627207999999</v>
      </c>
      <c r="O30">
        <f t="shared" si="12"/>
        <v>0</v>
      </c>
      <c r="P30">
        <v>0</v>
      </c>
      <c r="Q30">
        <v>-10.133520000000221</v>
      </c>
      <c r="R30">
        <v>0</v>
      </c>
      <c r="S30">
        <f t="shared" si="13"/>
        <v>207.35997108363907</v>
      </c>
      <c r="T30">
        <f t="shared" si="14"/>
        <v>-207.35997108363907</v>
      </c>
    </row>
    <row r="31" spans="1:20" x14ac:dyDescent="0.55000000000000004">
      <c r="A31">
        <v>0</v>
      </c>
      <c r="B31">
        <v>0</v>
      </c>
      <c r="C31">
        <v>0</v>
      </c>
      <c r="D31" t="s">
        <v>4</v>
      </c>
      <c r="E31" t="s">
        <v>0</v>
      </c>
      <c r="F31">
        <f t="shared" si="8"/>
        <v>0.63999991075197238</v>
      </c>
      <c r="G31">
        <f t="shared" ref="G31:G33" si="15">2*G27</f>
        <v>-10.133520000000001</v>
      </c>
      <c r="H31">
        <v>40</v>
      </c>
      <c r="I31">
        <v>40</v>
      </c>
      <c r="J31">
        <f>SIGN(H31*G31)*SUMIF(abaqus!A:A,CONCATENATE("=",ABS(H31)),abaqus!B:B)</f>
        <v>-5.6548668600000003</v>
      </c>
      <c r="K31">
        <f>SIGN(I31*G31)*SUMIF(abaqus!A:A,CONCATENATE("=",ABS(I31)),abaqus!B:B)</f>
        <v>-5.6548668600000003</v>
      </c>
      <c r="L31">
        <f t="shared" si="9"/>
        <v>5.6548668600000003</v>
      </c>
      <c r="M31">
        <f t="shared" si="10"/>
        <v>5.6548668600000003</v>
      </c>
      <c r="N31">
        <f t="shared" si="11"/>
        <v>15.833627207999999</v>
      </c>
      <c r="O31">
        <f t="shared" si="12"/>
        <v>0</v>
      </c>
      <c r="P31">
        <v>0</v>
      </c>
      <c r="Q31">
        <v>10.133520000000221</v>
      </c>
      <c r="R31">
        <v>0</v>
      </c>
      <c r="S31">
        <f t="shared" si="13"/>
        <v>-207.35997108363907</v>
      </c>
      <c r="T31">
        <f t="shared" si="14"/>
        <v>207.35997108363907</v>
      </c>
    </row>
    <row r="32" spans="1:20" x14ac:dyDescent="0.55000000000000004">
      <c r="A32">
        <v>0</v>
      </c>
      <c r="B32">
        <v>0</v>
      </c>
      <c r="C32">
        <v>0</v>
      </c>
      <c r="D32" t="s">
        <v>4</v>
      </c>
      <c r="E32" t="s">
        <v>0</v>
      </c>
      <c r="F32">
        <f t="shared" si="8"/>
        <v>1.2799998215039448</v>
      </c>
      <c r="G32">
        <f t="shared" si="15"/>
        <v>-10.133520000000001</v>
      </c>
      <c r="H32">
        <v>-20</v>
      </c>
      <c r="I32">
        <v>-20</v>
      </c>
      <c r="J32">
        <f>SIGN(H32*G32)*SUMIF(abaqus!A:A,CONCATENATE("=",ABS(H32)),abaqus!B:B)</f>
        <v>2.8274334300000001</v>
      </c>
      <c r="K32">
        <f>SIGN(I32*G32)*SUMIF(abaqus!A:A,CONCATENATE("=",ABS(I32)),abaqus!B:B)</f>
        <v>2.8274334300000001</v>
      </c>
      <c r="L32">
        <f t="shared" si="9"/>
        <v>-2.8274334300000001</v>
      </c>
      <c r="M32">
        <f t="shared" si="10"/>
        <v>-2.8274334300000001</v>
      </c>
      <c r="N32">
        <f t="shared" si="11"/>
        <v>-7.9168136039999997</v>
      </c>
      <c r="O32">
        <f t="shared" si="12"/>
        <v>0</v>
      </c>
      <c r="P32">
        <v>0</v>
      </c>
      <c r="Q32">
        <v>-10.133520000001136</v>
      </c>
      <c r="R32">
        <v>0</v>
      </c>
      <c r="S32">
        <f t="shared" si="13"/>
        <v>207.35997108363907</v>
      </c>
      <c r="T32">
        <f t="shared" si="14"/>
        <v>-207.35997108363907</v>
      </c>
    </row>
    <row r="33" spans="1:20" x14ac:dyDescent="0.55000000000000004">
      <c r="A33">
        <v>0</v>
      </c>
      <c r="B33">
        <v>0</v>
      </c>
      <c r="C33">
        <v>0</v>
      </c>
      <c r="D33" t="s">
        <v>4</v>
      </c>
      <c r="E33" t="s">
        <v>0</v>
      </c>
      <c r="F33">
        <f t="shared" si="8"/>
        <v>1.2799998215039448</v>
      </c>
      <c r="G33">
        <f t="shared" si="15"/>
        <v>10.133520000000001</v>
      </c>
      <c r="H33">
        <v>-20</v>
      </c>
      <c r="I33">
        <v>-20</v>
      </c>
      <c r="J33">
        <f>SIGN(H33*G33)*SUMIF(abaqus!A:A,CONCATENATE("=",ABS(H33)),abaqus!B:B)</f>
        <v>-2.8274334300000001</v>
      </c>
      <c r="K33">
        <f>SIGN(I33*G33)*SUMIF(abaqus!A:A,CONCATENATE("=",ABS(I33)),abaqus!B:B)</f>
        <v>-2.8274334300000001</v>
      </c>
      <c r="L33">
        <f t="shared" si="9"/>
        <v>2.8274334300000001</v>
      </c>
      <c r="M33">
        <f t="shared" si="10"/>
        <v>2.8274334300000001</v>
      </c>
      <c r="N33">
        <f t="shared" si="11"/>
        <v>7.9168136039999997</v>
      </c>
      <c r="O33">
        <f t="shared" si="12"/>
        <v>0</v>
      </c>
      <c r="P33">
        <v>0</v>
      </c>
      <c r="Q33">
        <v>10.133520000001136</v>
      </c>
      <c r="R33">
        <v>0</v>
      </c>
      <c r="S33">
        <f t="shared" si="13"/>
        <v>-207.35997108363907</v>
      </c>
      <c r="T33">
        <f t="shared" si="14"/>
        <v>207.35997108363907</v>
      </c>
    </row>
    <row r="34" spans="1:20" x14ac:dyDescent="0.55000000000000004">
      <c r="A34">
        <v>0</v>
      </c>
      <c r="B34">
        <v>0</v>
      </c>
      <c r="C34">
        <v>0</v>
      </c>
      <c r="D34" t="s">
        <v>4</v>
      </c>
      <c r="E34" t="s">
        <v>0</v>
      </c>
      <c r="F34">
        <f>4*ABS(G34)/(ABS(L34)+ABS(M34))/5.6</f>
        <v>0.31507936000000003</v>
      </c>
      <c r="G34">
        <v>6.2360614089690332</v>
      </c>
      <c r="H34">
        <v>-50</v>
      </c>
      <c r="I34">
        <v>50</v>
      </c>
      <c r="J34">
        <f>SIGN(H34*G34)*SUMIF(abaqus!A:A,CONCATENATE("=",ABS(H34)),abaqus!B:B)</f>
        <v>-7.0685835749999999</v>
      </c>
      <c r="K34">
        <f>SIGN(I34*G34)*SUMIF(abaqus!A:A,CONCATENATE("=",ABS(I34)),abaqus!B:B)</f>
        <v>7.0685835749999999</v>
      </c>
      <c r="L34">
        <f t="shared" si="9"/>
        <v>-7.0685835749999999</v>
      </c>
      <c r="M34">
        <f t="shared" si="10"/>
        <v>7.0685835749999999</v>
      </c>
      <c r="N34">
        <f t="shared" si="11"/>
        <v>0</v>
      </c>
      <c r="O34">
        <f t="shared" si="12"/>
        <v>-4.9853989949622157</v>
      </c>
      <c r="P34">
        <v>-89.999998549119482</v>
      </c>
      <c r="Q34">
        <v>0</v>
      </c>
      <c r="R34">
        <v>0</v>
      </c>
      <c r="S34">
        <f t="shared" si="13"/>
        <v>127.60714080000002</v>
      </c>
      <c r="T34">
        <f t="shared" si="14"/>
        <v>127.60714080000002</v>
      </c>
    </row>
    <row r="35" spans="1:20" x14ac:dyDescent="0.55000000000000004">
      <c r="A35">
        <v>0</v>
      </c>
      <c r="B35">
        <v>0</v>
      </c>
      <c r="C35">
        <v>0</v>
      </c>
      <c r="D35" t="s">
        <v>4</v>
      </c>
      <c r="E35" t="s">
        <v>0</v>
      </c>
      <c r="F35">
        <f>4*ABS(G35)/(ABS(L35)+ABS(M35))/5.6</f>
        <v>0.31507936000000003</v>
      </c>
      <c r="G35">
        <v>6.2360614089690332</v>
      </c>
      <c r="H35">
        <v>50</v>
      </c>
      <c r="I35">
        <v>-50</v>
      </c>
      <c r="J35">
        <f>SIGN(H35*G35)*SUMIF(abaqus!A:A,CONCATENATE("=",ABS(H35)),abaqus!B:B)</f>
        <v>7.0685835749999999</v>
      </c>
      <c r="K35">
        <f>SIGN(I35*G35)*SUMIF(abaqus!A:A,CONCATENATE("=",ABS(I35)),abaqus!B:B)</f>
        <v>-7.0685835749999999</v>
      </c>
      <c r="L35">
        <f t="shared" si="9"/>
        <v>7.0685835749999999</v>
      </c>
      <c r="M35">
        <f t="shared" si="10"/>
        <v>-7.0685835749999999</v>
      </c>
      <c r="N35">
        <f t="shared" si="11"/>
        <v>0</v>
      </c>
      <c r="O35">
        <f t="shared" si="12"/>
        <v>4.9853989949622157</v>
      </c>
      <c r="P35">
        <v>89.999998549119482</v>
      </c>
      <c r="Q35">
        <v>0</v>
      </c>
      <c r="R35">
        <v>0</v>
      </c>
      <c r="S35">
        <f t="shared" si="13"/>
        <v>-127.60714080000002</v>
      </c>
      <c r="T35">
        <f t="shared" si="14"/>
        <v>-127.60714080000002</v>
      </c>
    </row>
    <row r="36" spans="1:20" x14ac:dyDescent="0.55000000000000004">
      <c r="A36">
        <v>0</v>
      </c>
      <c r="B36">
        <v>0</v>
      </c>
      <c r="C36">
        <v>0</v>
      </c>
      <c r="D36" t="s">
        <v>4</v>
      </c>
      <c r="E36" t="s">
        <v>0</v>
      </c>
      <c r="F36">
        <f t="shared" ref="F36:F49" si="16">4*ABS(G36)/(ABS(L36)+ABS(M36))/5.6</f>
        <v>0.63015872000000006</v>
      </c>
      <c r="G36">
        <f>-2*G34</f>
        <v>-12.472122817938066</v>
      </c>
      <c r="H36">
        <v>-50</v>
      </c>
      <c r="I36">
        <v>50</v>
      </c>
      <c r="J36">
        <f>SIGN(H36*G36)*SUMIF(abaqus!A:A,CONCATENATE("=",ABS(H36)),abaqus!B:B)</f>
        <v>7.0685835749999999</v>
      </c>
      <c r="K36">
        <f>SIGN(I36*G36)*SUMIF(abaqus!A:A,CONCATENATE("=",ABS(I36)),abaqus!B:B)</f>
        <v>-7.0685835749999999</v>
      </c>
      <c r="L36">
        <f t="shared" si="9"/>
        <v>7.0685835749999999</v>
      </c>
      <c r="M36">
        <f t="shared" si="10"/>
        <v>-7.0685835749999999</v>
      </c>
      <c r="N36">
        <f t="shared" si="11"/>
        <v>0</v>
      </c>
      <c r="O36">
        <f t="shared" si="12"/>
        <v>4.9853989949622157</v>
      </c>
      <c r="P36">
        <v>179.99999709823979</v>
      </c>
      <c r="Q36">
        <v>0</v>
      </c>
      <c r="R36">
        <v>0</v>
      </c>
      <c r="S36">
        <f t="shared" si="13"/>
        <v>-255.21428160000005</v>
      </c>
      <c r="T36">
        <f t="shared" si="14"/>
        <v>-255.21428160000005</v>
      </c>
    </row>
    <row r="37" spans="1:20" x14ac:dyDescent="0.55000000000000004">
      <c r="A37">
        <v>0</v>
      </c>
      <c r="B37">
        <v>0</v>
      </c>
      <c r="C37">
        <v>0</v>
      </c>
      <c r="D37" t="s">
        <v>4</v>
      </c>
      <c r="E37" t="s">
        <v>0</v>
      </c>
      <c r="F37">
        <f t="shared" si="16"/>
        <v>1.5753968</v>
      </c>
      <c r="G37">
        <f>5*G34</f>
        <v>31.180307044845165</v>
      </c>
      <c r="H37">
        <v>50</v>
      </c>
      <c r="I37">
        <v>-50</v>
      </c>
      <c r="J37">
        <f>SIGN(H37*G37)*SUMIF(abaqus!A:A,CONCATENATE("=",ABS(H37)),abaqus!B:B)</f>
        <v>7.0685835749999999</v>
      </c>
      <c r="K37">
        <f>SIGN(I37*G37)*SUMIF(abaqus!A:A,CONCATENATE("=",ABS(I37)),abaqus!B:B)</f>
        <v>-7.0685835749999999</v>
      </c>
      <c r="L37">
        <f t="shared" si="9"/>
        <v>7.0685835749999999</v>
      </c>
      <c r="M37">
        <f t="shared" si="10"/>
        <v>-7.0685835749999999</v>
      </c>
      <c r="N37">
        <f t="shared" si="11"/>
        <v>0</v>
      </c>
      <c r="O37">
        <f t="shared" si="12"/>
        <v>4.9853989949622157</v>
      </c>
      <c r="P37">
        <v>449.99999274565096</v>
      </c>
      <c r="Q37">
        <v>0</v>
      </c>
      <c r="R37">
        <v>0</v>
      </c>
      <c r="S37">
        <f t="shared" si="13"/>
        <v>-638.03570400000001</v>
      </c>
      <c r="T37">
        <f t="shared" si="14"/>
        <v>-638.03570400000001</v>
      </c>
    </row>
    <row r="38" spans="1:20" x14ac:dyDescent="0.55000000000000004">
      <c r="A38">
        <v>-20</v>
      </c>
      <c r="B38">
        <v>35</v>
      </c>
      <c r="C38">
        <v>0</v>
      </c>
      <c r="D38" t="s">
        <v>4</v>
      </c>
      <c r="E38" t="s">
        <v>0</v>
      </c>
      <c r="F38">
        <f t="shared" si="16"/>
        <v>0.63156722516161445</v>
      </c>
      <c r="G38">
        <v>5</v>
      </c>
      <c r="H38">
        <v>20</v>
      </c>
      <c r="I38">
        <v>20</v>
      </c>
      <c r="J38">
        <f>SIGN(H38*G38)*SUMIF(abaqus!A:A,CONCATENATE("=",ABS(H38)),abaqus!B:B)</f>
        <v>2.8274334300000001</v>
      </c>
      <c r="K38">
        <f>SIGN(I38*G38)*SUMIF(abaqus!A:A,CONCATENATE("=",ABS(I38)),abaqus!B:B)</f>
        <v>2.8274334300000001</v>
      </c>
      <c r="L38">
        <f t="shared" si="9"/>
        <v>-2.8274334300000001</v>
      </c>
      <c r="M38">
        <f t="shared" si="10"/>
        <v>-2.8274334300000001</v>
      </c>
      <c r="N38">
        <f t="shared" si="11"/>
        <v>-7.9168136039999997</v>
      </c>
      <c r="O38">
        <f t="shared" si="12"/>
        <v>0</v>
      </c>
      <c r="P38">
        <v>0</v>
      </c>
      <c r="Q38">
        <v>-24.99999999999898</v>
      </c>
      <c r="R38">
        <v>35</v>
      </c>
      <c r="S38">
        <f t="shared" si="13"/>
        <v>102.31389047618156</v>
      </c>
      <c r="T38">
        <f t="shared" si="14"/>
        <v>-102.31389047618156</v>
      </c>
    </row>
    <row r="39" spans="1:20" x14ac:dyDescent="0.55000000000000004">
      <c r="A39">
        <v>-20</v>
      </c>
      <c r="B39">
        <v>35</v>
      </c>
      <c r="C39">
        <f>3.1415927/2</f>
        <v>1.57079635</v>
      </c>
      <c r="D39" t="s">
        <v>4</v>
      </c>
      <c r="E39" t="s">
        <v>0</v>
      </c>
      <c r="F39">
        <f t="shared" si="16"/>
        <v>0.63156722516161445</v>
      </c>
      <c r="G39">
        <v>5</v>
      </c>
      <c r="H39">
        <v>20</v>
      </c>
      <c r="I39">
        <v>20</v>
      </c>
      <c r="J39">
        <f>SIGN(H39*G39)*SUMIF(abaqus!A:A,CONCATENATE("=",ABS(H39)),abaqus!B:B)</f>
        <v>2.8274334300000001</v>
      </c>
      <c r="K39">
        <f>SIGN(I39*G39)*SUMIF(abaqus!A:A,CONCATENATE("=",ABS(I39)),abaqus!B:B)</f>
        <v>2.8274334300000001</v>
      </c>
      <c r="L39">
        <f t="shared" si="9"/>
        <v>-2.8274334300000001</v>
      </c>
      <c r="M39">
        <f t="shared" si="10"/>
        <v>-2.8274334300000001</v>
      </c>
      <c r="N39">
        <f t="shared" si="11"/>
        <v>-7.9168136039999997</v>
      </c>
      <c r="O39">
        <f t="shared" si="12"/>
        <v>0</v>
      </c>
      <c r="P39">
        <v>90</v>
      </c>
      <c r="Q39">
        <v>-19.999999883974265</v>
      </c>
      <c r="R39">
        <v>30.00000000000102</v>
      </c>
      <c r="S39">
        <f t="shared" si="13"/>
        <v>102.31389047618156</v>
      </c>
      <c r="T39">
        <f t="shared" si="14"/>
        <v>-102.31389047618156</v>
      </c>
    </row>
    <row r="40" spans="1:20" x14ac:dyDescent="0.55000000000000004">
      <c r="A40">
        <v>-20</v>
      </c>
      <c r="B40">
        <v>35</v>
      </c>
      <c r="C40">
        <f>-3.1415927/2</f>
        <v>-1.57079635</v>
      </c>
      <c r="D40" t="s">
        <v>4</v>
      </c>
      <c r="E40" t="s">
        <v>0</v>
      </c>
      <c r="F40">
        <f t="shared" si="16"/>
        <v>0.63156722516161445</v>
      </c>
      <c r="G40">
        <v>5</v>
      </c>
      <c r="H40">
        <v>20</v>
      </c>
      <c r="I40">
        <v>20</v>
      </c>
      <c r="J40">
        <f>SIGN(H40*G40)*SUMIF(abaqus!A:A,CONCATENATE("=",ABS(H40)),abaqus!B:B)</f>
        <v>2.8274334300000001</v>
      </c>
      <c r="K40">
        <f>SIGN(I40*G40)*SUMIF(abaqus!A:A,CONCATENATE("=",ABS(I40)),abaqus!B:B)</f>
        <v>2.8274334300000001</v>
      </c>
      <c r="L40">
        <f t="shared" si="9"/>
        <v>-2.8274334300000001</v>
      </c>
      <c r="M40">
        <f t="shared" si="10"/>
        <v>-2.8274334300000001</v>
      </c>
      <c r="N40">
        <f t="shared" si="11"/>
        <v>-7.9168136039999997</v>
      </c>
      <c r="O40">
        <f t="shared" si="12"/>
        <v>0</v>
      </c>
      <c r="P40">
        <v>-90</v>
      </c>
      <c r="Q40">
        <v>-19.999999883974265</v>
      </c>
      <c r="R40">
        <v>39.999999999998977</v>
      </c>
      <c r="S40">
        <f t="shared" si="13"/>
        <v>102.31389047618156</v>
      </c>
      <c r="T40">
        <f t="shared" si="14"/>
        <v>-102.31389047618156</v>
      </c>
    </row>
    <row r="41" spans="1:20" x14ac:dyDescent="0.55000000000000004">
      <c r="A41">
        <v>-20</v>
      </c>
      <c r="B41">
        <v>35</v>
      </c>
      <c r="C41">
        <f>3.1415927</f>
        <v>3.1415926999999999</v>
      </c>
      <c r="D41" t="s">
        <v>4</v>
      </c>
      <c r="E41" t="s">
        <v>0</v>
      </c>
      <c r="F41">
        <f t="shared" si="16"/>
        <v>0.63156722516161445</v>
      </c>
      <c r="G41">
        <v>5</v>
      </c>
      <c r="H41">
        <v>20</v>
      </c>
      <c r="I41">
        <v>20</v>
      </c>
      <c r="J41">
        <f>SIGN(H41*G41)*SUMIF(abaqus!A:A,CONCATENATE("=",ABS(H41)),abaqus!B:B)</f>
        <v>2.8274334300000001</v>
      </c>
      <c r="K41">
        <f>SIGN(I41*G41)*SUMIF(abaqus!A:A,CONCATENATE("=",ABS(I41)),abaqus!B:B)</f>
        <v>2.8274334300000001</v>
      </c>
      <c r="L41">
        <f t="shared" si="9"/>
        <v>-2.8274334300000001</v>
      </c>
      <c r="M41">
        <f t="shared" si="10"/>
        <v>-2.8274334300000001</v>
      </c>
      <c r="N41">
        <f t="shared" si="11"/>
        <v>-7.9168136039999997</v>
      </c>
      <c r="O41">
        <f t="shared" si="12"/>
        <v>0</v>
      </c>
      <c r="P41">
        <v>180</v>
      </c>
      <c r="Q41">
        <v>-15.00000000000057</v>
      </c>
      <c r="R41">
        <v>35.00000023205147</v>
      </c>
      <c r="S41">
        <f t="shared" si="13"/>
        <v>102.31389047618156</v>
      </c>
      <c r="T41">
        <f t="shared" si="14"/>
        <v>-102.31389047618156</v>
      </c>
    </row>
    <row r="42" spans="1:20" x14ac:dyDescent="0.55000000000000004">
      <c r="A42">
        <v>-20</v>
      </c>
      <c r="B42">
        <v>35</v>
      </c>
      <c r="C42">
        <v>0</v>
      </c>
      <c r="D42" t="s">
        <v>4</v>
      </c>
      <c r="E42" t="s">
        <v>0</v>
      </c>
      <c r="F42">
        <f t="shared" si="16"/>
        <v>0.25262689006464578</v>
      </c>
      <c r="G42">
        <v>5</v>
      </c>
      <c r="H42">
        <v>-50</v>
      </c>
      <c r="I42">
        <v>50</v>
      </c>
      <c r="J42">
        <f>SIGN(H42*G42)*SUMIF(abaqus!A:A,CONCATENATE("=",ABS(H42)),abaqus!B:B)</f>
        <v>-7.0685835749999999</v>
      </c>
      <c r="K42">
        <f>SIGN(I42*G42)*SUMIF(abaqus!A:A,CONCATENATE("=",ABS(I42)),abaqus!B:B)</f>
        <v>7.0685835749999999</v>
      </c>
      <c r="L42">
        <f t="shared" si="9"/>
        <v>-7.0685835749999999</v>
      </c>
      <c r="M42">
        <f t="shared" si="10"/>
        <v>7.0685835749999999</v>
      </c>
      <c r="N42">
        <f t="shared" si="11"/>
        <v>0</v>
      </c>
      <c r="O42">
        <f t="shared" si="12"/>
        <v>-4.9853989949622157</v>
      </c>
      <c r="P42">
        <v>-72.160930310657378</v>
      </c>
      <c r="Q42">
        <v>-20</v>
      </c>
      <c r="R42">
        <v>35</v>
      </c>
      <c r="S42">
        <f t="shared" si="13"/>
        <v>102.31389047618154</v>
      </c>
      <c r="T42">
        <f t="shared" si="14"/>
        <v>102.31389047618154</v>
      </c>
    </row>
    <row r="43" spans="1:20" x14ac:dyDescent="0.55000000000000004">
      <c r="A43">
        <v>-20</v>
      </c>
      <c r="B43">
        <v>35</v>
      </c>
      <c r="C43">
        <f>3.1415927/2</f>
        <v>1.57079635</v>
      </c>
      <c r="D43" t="s">
        <v>4</v>
      </c>
      <c r="E43" t="s">
        <v>0</v>
      </c>
      <c r="F43">
        <f t="shared" si="16"/>
        <v>0.25262689006464578</v>
      </c>
      <c r="G43">
        <v>5</v>
      </c>
      <c r="H43">
        <v>-50</v>
      </c>
      <c r="I43">
        <v>50</v>
      </c>
      <c r="J43">
        <f>SIGN(H43*G43)*SUMIF(abaqus!A:A,CONCATENATE("=",ABS(H43)),abaqus!B:B)</f>
        <v>-7.0685835749999999</v>
      </c>
      <c r="K43">
        <f>SIGN(I43*G43)*SUMIF(abaqus!A:A,CONCATENATE("=",ABS(I43)),abaqus!B:B)</f>
        <v>7.0685835749999999</v>
      </c>
      <c r="L43">
        <f t="shared" si="9"/>
        <v>-7.0685835749999999</v>
      </c>
      <c r="M43">
        <f t="shared" si="10"/>
        <v>7.0685835749999999</v>
      </c>
      <c r="N43">
        <f t="shared" si="11"/>
        <v>0</v>
      </c>
      <c r="O43">
        <f t="shared" si="12"/>
        <v>-4.9853989949622157</v>
      </c>
      <c r="P43">
        <v>17.839069689341859</v>
      </c>
      <c r="Q43">
        <v>-20</v>
      </c>
      <c r="R43">
        <v>35</v>
      </c>
      <c r="S43">
        <f t="shared" si="13"/>
        <v>102.31389047618154</v>
      </c>
      <c r="T43">
        <f t="shared" si="14"/>
        <v>102.31389047618154</v>
      </c>
    </row>
    <row r="44" spans="1:20" x14ac:dyDescent="0.55000000000000004">
      <c r="A44">
        <v>-20</v>
      </c>
      <c r="B44">
        <v>35</v>
      </c>
      <c r="C44">
        <f>-3.1415927/2</f>
        <v>-1.57079635</v>
      </c>
      <c r="D44" t="s">
        <v>4</v>
      </c>
      <c r="E44" t="s">
        <v>0</v>
      </c>
      <c r="F44">
        <f t="shared" si="16"/>
        <v>0.25262689006464578</v>
      </c>
      <c r="G44">
        <v>5</v>
      </c>
      <c r="H44">
        <v>-50</v>
      </c>
      <c r="I44">
        <v>50</v>
      </c>
      <c r="J44">
        <f>SIGN(H44*G44)*SUMIF(abaqus!A:A,CONCATENATE("=",ABS(H44)),abaqus!B:B)</f>
        <v>-7.0685835749999999</v>
      </c>
      <c r="K44">
        <f>SIGN(I44*G44)*SUMIF(abaqus!A:A,CONCATENATE("=",ABS(I44)),abaqus!B:B)</f>
        <v>7.0685835749999999</v>
      </c>
      <c r="L44">
        <f t="shared" si="9"/>
        <v>-7.0685835749999999</v>
      </c>
      <c r="M44">
        <f t="shared" si="10"/>
        <v>7.0685835749999999</v>
      </c>
      <c r="N44">
        <f t="shared" si="11"/>
        <v>0</v>
      </c>
      <c r="O44">
        <f t="shared" si="12"/>
        <v>-4.9853989949622157</v>
      </c>
      <c r="P44">
        <v>-162.16093031065569</v>
      </c>
      <c r="Q44">
        <v>-20</v>
      </c>
      <c r="R44">
        <v>35</v>
      </c>
      <c r="S44">
        <f t="shared" si="13"/>
        <v>102.31389047618154</v>
      </c>
      <c r="T44">
        <f t="shared" si="14"/>
        <v>102.31389047618154</v>
      </c>
    </row>
    <row r="45" spans="1:20" x14ac:dyDescent="0.55000000000000004">
      <c r="A45">
        <v>-20</v>
      </c>
      <c r="B45">
        <v>35</v>
      </c>
      <c r="C45">
        <f>3.1415927</f>
        <v>3.1415926999999999</v>
      </c>
      <c r="D45" t="s">
        <v>4</v>
      </c>
      <c r="E45" t="s">
        <v>0</v>
      </c>
      <c r="F45">
        <f t="shared" si="16"/>
        <v>0.25262689006464578</v>
      </c>
      <c r="G45">
        <v>5</v>
      </c>
      <c r="H45">
        <v>-50</v>
      </c>
      <c r="I45">
        <v>50</v>
      </c>
      <c r="J45">
        <f>SIGN(H45*G45)*SUMIF(abaqus!A:A,CONCATENATE("=",ABS(H45)),abaqus!B:B)</f>
        <v>-7.0685835749999999</v>
      </c>
      <c r="K45">
        <f>SIGN(I45*G45)*SUMIF(abaqus!A:A,CONCATENATE("=",ABS(I45)),abaqus!B:B)</f>
        <v>7.0685835749999999</v>
      </c>
      <c r="L45">
        <f t="shared" si="9"/>
        <v>-7.0685835749999999</v>
      </c>
      <c r="M45">
        <f t="shared" si="10"/>
        <v>7.0685835749999999</v>
      </c>
      <c r="N45">
        <f t="shared" si="11"/>
        <v>0</v>
      </c>
      <c r="O45">
        <f t="shared" si="12"/>
        <v>-4.9853989949622157</v>
      </c>
      <c r="P45">
        <v>107.83906968934592</v>
      </c>
      <c r="Q45">
        <v>-20</v>
      </c>
      <c r="R45">
        <v>35</v>
      </c>
      <c r="S45">
        <f t="shared" si="13"/>
        <v>102.31389047618154</v>
      </c>
      <c r="T45">
        <f t="shared" si="14"/>
        <v>102.31389047618154</v>
      </c>
    </row>
    <row r="46" spans="1:20" x14ac:dyDescent="0.55000000000000004">
      <c r="A46">
        <v>-20</v>
      </c>
      <c r="B46">
        <v>35</v>
      </c>
      <c r="C46">
        <v>0</v>
      </c>
      <c r="D46" t="s">
        <v>4</v>
      </c>
      <c r="E46" t="s">
        <v>0</v>
      </c>
      <c r="F46">
        <f t="shared" si="16"/>
        <v>0.50525378012929156</v>
      </c>
      <c r="G46">
        <v>5</v>
      </c>
      <c r="H46">
        <v>50</v>
      </c>
      <c r="I46">
        <v>0</v>
      </c>
      <c r="J46">
        <f>SIGN(H46*G46)*SUMIF(abaqus!A:A,CONCATENATE("=",ABS(H46)),abaqus!B:B)</f>
        <v>7.0685835749999999</v>
      </c>
      <c r="K46">
        <f>SIGN(I46*G46)*SUMIF(abaqus!A:A,CONCATENATE("=",ABS(I46)),abaqus!B:B)</f>
        <v>0</v>
      </c>
      <c r="L46">
        <f t="shared" si="9"/>
        <v>0</v>
      </c>
      <c r="M46">
        <f t="shared" si="10"/>
        <v>-7.0685835749999999</v>
      </c>
      <c r="N46">
        <f t="shared" si="11"/>
        <v>-9.8960170049999991</v>
      </c>
      <c r="O46">
        <f t="shared" si="12"/>
        <v>2.4926994974811079</v>
      </c>
      <c r="P46">
        <v>72.160930310657406</v>
      </c>
      <c r="Q46">
        <v>-23.779126279196973</v>
      </c>
      <c r="R46">
        <v>32.246187604069981</v>
      </c>
      <c r="S46">
        <f t="shared" si="13"/>
        <v>0</v>
      </c>
      <c r="T46">
        <f t="shared" si="14"/>
        <v>-204.62778095236308</v>
      </c>
    </row>
    <row r="47" spans="1:20" x14ac:dyDescent="0.55000000000000004">
      <c r="A47">
        <v>-20</v>
      </c>
      <c r="B47">
        <v>35</v>
      </c>
      <c r="C47">
        <f>3.1415927/2</f>
        <v>1.57079635</v>
      </c>
      <c r="D47" t="s">
        <v>4</v>
      </c>
      <c r="E47" t="s">
        <v>0</v>
      </c>
      <c r="F47">
        <f t="shared" si="16"/>
        <v>0.50525378012929156</v>
      </c>
      <c r="G47">
        <v>5</v>
      </c>
      <c r="H47">
        <v>50</v>
      </c>
      <c r="I47">
        <v>0</v>
      </c>
      <c r="J47">
        <f>SIGN(H47*G47)*SUMIF(abaqus!A:A,CONCATENATE("=",ABS(H47)),abaqus!B:B)</f>
        <v>7.0685835749999999</v>
      </c>
      <c r="K47">
        <f>SIGN(I47*G47)*SUMIF(abaqus!A:A,CONCATENATE("=",ABS(I47)),abaqus!B:B)</f>
        <v>0</v>
      </c>
      <c r="L47">
        <f t="shared" si="9"/>
        <v>0</v>
      </c>
      <c r="M47">
        <f t="shared" si="10"/>
        <v>-7.0685835749999999</v>
      </c>
      <c r="N47">
        <f t="shared" si="11"/>
        <v>-9.8960170049999991</v>
      </c>
      <c r="O47">
        <f t="shared" si="12"/>
        <v>2.4926994974811079</v>
      </c>
      <c r="P47">
        <v>162.16093031066202</v>
      </c>
      <c r="Q47">
        <v>-17.246187516374999</v>
      </c>
      <c r="R47">
        <v>31.220873784705553</v>
      </c>
      <c r="S47">
        <f t="shared" si="13"/>
        <v>0</v>
      </c>
      <c r="T47">
        <f t="shared" si="14"/>
        <v>-204.62778095236308</v>
      </c>
    </row>
    <row r="48" spans="1:20" x14ac:dyDescent="0.55000000000000004">
      <c r="A48">
        <v>-20</v>
      </c>
      <c r="B48">
        <v>35</v>
      </c>
      <c r="C48">
        <f>-3.1415927/2</f>
        <v>-1.57079635</v>
      </c>
      <c r="D48" t="s">
        <v>4</v>
      </c>
      <c r="E48" t="s">
        <v>0</v>
      </c>
      <c r="F48">
        <f t="shared" si="16"/>
        <v>0.50525378012929156</v>
      </c>
      <c r="G48">
        <v>5</v>
      </c>
      <c r="H48">
        <v>50</v>
      </c>
      <c r="I48">
        <v>0</v>
      </c>
      <c r="J48">
        <f>SIGN(H48*G48)*SUMIF(abaqus!A:A,CONCATENATE("=",ABS(H48)),abaqus!B:B)</f>
        <v>7.0685835749999999</v>
      </c>
      <c r="K48">
        <f>SIGN(I48*G48)*SUMIF(abaqus!A:A,CONCATENATE("=",ABS(I48)),abaqus!B:B)</f>
        <v>0</v>
      </c>
      <c r="L48">
        <f t="shared" si="9"/>
        <v>0</v>
      </c>
      <c r="M48">
        <f t="shared" si="10"/>
        <v>-7.0685835749999999</v>
      </c>
      <c r="N48">
        <f t="shared" si="11"/>
        <v>-9.8960170049999991</v>
      </c>
      <c r="O48">
        <f t="shared" si="12"/>
        <v>2.4926994974811079</v>
      </c>
      <c r="P48">
        <v>-17.839069689343408</v>
      </c>
      <c r="Q48">
        <v>-22.753812308234863</v>
      </c>
      <c r="R48">
        <v>38.779126343099492</v>
      </c>
      <c r="S48">
        <f t="shared" si="13"/>
        <v>0</v>
      </c>
      <c r="T48">
        <f t="shared" si="14"/>
        <v>-204.62778095236308</v>
      </c>
    </row>
    <row r="49" spans="1:20" x14ac:dyDescent="0.55000000000000004">
      <c r="A49">
        <v>-20</v>
      </c>
      <c r="B49">
        <v>35</v>
      </c>
      <c r="C49">
        <f>3.1415927</f>
        <v>3.1415926999999999</v>
      </c>
      <c r="D49" t="s">
        <v>4</v>
      </c>
      <c r="E49" t="s">
        <v>0</v>
      </c>
      <c r="F49">
        <f t="shared" si="16"/>
        <v>0.50525378012929156</v>
      </c>
      <c r="G49">
        <v>5</v>
      </c>
      <c r="H49">
        <v>50</v>
      </c>
      <c r="I49">
        <v>0</v>
      </c>
      <c r="J49">
        <f>SIGN(H49*G49)*SUMIF(abaqus!A:A,CONCATENATE("=",ABS(H49)),abaqus!B:B)</f>
        <v>7.0685835749999999</v>
      </c>
      <c r="K49">
        <f>SIGN(I49*G49)*SUMIF(abaqus!A:A,CONCATENATE("=",ABS(I49)),abaqus!B:B)</f>
        <v>0</v>
      </c>
      <c r="L49">
        <f t="shared" si="9"/>
        <v>0</v>
      </c>
      <c r="M49">
        <f t="shared" si="10"/>
        <v>-7.0685835749999999</v>
      </c>
      <c r="N49">
        <f t="shared" si="11"/>
        <v>-9.8960170049999991</v>
      </c>
      <c r="O49">
        <f t="shared" si="12"/>
        <v>2.4926994974811079</v>
      </c>
      <c r="P49">
        <v>252.16093031065822</v>
      </c>
      <c r="Q49">
        <v>-16.220873848608154</v>
      </c>
      <c r="R49">
        <v>37.75381257132026</v>
      </c>
      <c r="S49">
        <f t="shared" si="13"/>
        <v>0</v>
      </c>
      <c r="T49">
        <f t="shared" si="14"/>
        <v>-204.62778095236308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69B4E-9E65-4166-B786-8D60380A7834}">
  <sheetPr codeName="Sheet3"/>
  <dimension ref="A1:AC37"/>
  <sheetViews>
    <sheetView zoomScale="83" zoomScaleNormal="83" workbookViewId="0">
      <selection activeCell="G1" sqref="G1"/>
    </sheetView>
  </sheetViews>
  <sheetFormatPr defaultRowHeight="14.4" x14ac:dyDescent="0.55000000000000004"/>
  <cols>
    <col min="5" max="5" width="11.578125" bestFit="1" customWidth="1"/>
    <col min="12" max="16" width="10.734375" customWidth="1"/>
    <col min="19" max="19" width="10.7890625" customWidth="1"/>
  </cols>
  <sheetData>
    <row r="1" spans="1:29" x14ac:dyDescent="0.55000000000000004">
      <c r="A1" t="s">
        <v>1</v>
      </c>
      <c r="B1" t="s">
        <v>2</v>
      </c>
      <c r="C1" t="s">
        <v>3</v>
      </c>
      <c r="D1" t="s">
        <v>22</v>
      </c>
      <c r="E1" t="s">
        <v>12</v>
      </c>
      <c r="F1" t="s">
        <v>11</v>
      </c>
      <c r="G1" t="s">
        <v>23</v>
      </c>
      <c r="H1" t="s">
        <v>36</v>
      </c>
      <c r="I1" t="s">
        <v>35</v>
      </c>
      <c r="J1" t="s">
        <v>28</v>
      </c>
      <c r="K1" t="s">
        <v>29</v>
      </c>
      <c r="L1" t="s">
        <v>30</v>
      </c>
      <c r="M1" t="s">
        <v>31</v>
      </c>
      <c r="N1" t="s">
        <v>14</v>
      </c>
      <c r="O1" t="s">
        <v>15</v>
      </c>
      <c r="P1" t="s">
        <v>10</v>
      </c>
      <c r="Q1" t="s">
        <v>8</v>
      </c>
      <c r="R1" t="s">
        <v>9</v>
      </c>
      <c r="S1" t="s">
        <v>25</v>
      </c>
      <c r="T1" t="s">
        <v>26</v>
      </c>
      <c r="U1" t="s">
        <v>27</v>
      </c>
      <c r="AA1" t="s">
        <v>32</v>
      </c>
      <c r="AC1">
        <v>1021</v>
      </c>
    </row>
    <row r="2" spans="1:29" x14ac:dyDescent="0.55000000000000004">
      <c r="A2">
        <v>0</v>
      </c>
      <c r="B2">
        <v>0</v>
      </c>
      <c r="C2">
        <v>0</v>
      </c>
      <c r="D2" t="s">
        <v>0</v>
      </c>
      <c r="E2">
        <f>ABS(I2/180*3.1415927/J2)</f>
        <v>0.36790123456790119</v>
      </c>
      <c r="F2">
        <v>50</v>
      </c>
      <c r="G2">
        <v>90</v>
      </c>
      <c r="H2" t="s">
        <v>24</v>
      </c>
      <c r="I2">
        <f>IF(H2="clockwise",MOD(G2-MOD($AC$1,360),360),0)+IF(H2="counterclockwise",MOD(MOD($AC$1,360)-G2,360),0)+IF(H2="shortest path",MIN(MOD(G2-MOD($AC$1,360),360),MOD(MOD($AC$1,360)-G2,360)))</f>
        <v>149</v>
      </c>
      <c r="J2">
        <f>IF(H2="clockwise",1,IF(H2="counterclockwise",-1,IF(MOD(G2-MOD($AC$1,360),360)&gt;MOD(MOD($AC$1,360)-G2,360),-1,1)))*SUMIF(abaqus!A:A,CONCATENATE("=",ABS(F2)),abaqus!B:B)</f>
        <v>7.0685835749999999</v>
      </c>
      <c r="K2">
        <f>IF(D2="E",-J2,0)</f>
        <v>-7.0685835749999999</v>
      </c>
      <c r="L2">
        <f>IF(D2="F",J2,0)</f>
        <v>0</v>
      </c>
      <c r="M2">
        <f>IF(D2="D",J2,0)</f>
        <v>0</v>
      </c>
      <c r="N2">
        <f>(K2+L2)*0.5*5.6/2</f>
        <v>-9.8960170049999991</v>
      </c>
      <c r="O2">
        <f>(K2-L2)/3.97/2*5.6/2</f>
        <v>-2.4926994974811079</v>
      </c>
      <c r="P2">
        <v>-52.544080604534848</v>
      </c>
      <c r="Q2">
        <v>-3.1514729965738786</v>
      </c>
      <c r="R2">
        <v>1.5556399363011013</v>
      </c>
      <c r="S2">
        <f>IF(D2="E",$J2*$E2/3.1415927*180+$AC$1,0)</f>
        <v>1170</v>
      </c>
      <c r="T2">
        <f>IF(D2="F",$J2*$E2/3.1415927*180+$AC$1,0)</f>
        <v>0</v>
      </c>
      <c r="U2">
        <f>IF(D2="D",$J2*$E2/3.1415927*180+$AC$1,0)</f>
        <v>0</v>
      </c>
      <c r="AA2" t="s">
        <v>37</v>
      </c>
    </row>
    <row r="3" spans="1:29" x14ac:dyDescent="0.55000000000000004">
      <c r="A3">
        <v>0</v>
      </c>
      <c r="B3">
        <v>0</v>
      </c>
      <c r="C3">
        <v>0</v>
      </c>
      <c r="D3" t="s">
        <v>0</v>
      </c>
      <c r="E3">
        <f t="shared" ref="E2:E10" si="0">ABS(I3/180*3.1415927/J3)</f>
        <v>0.5209876543209877</v>
      </c>
      <c r="F3">
        <v>50</v>
      </c>
      <c r="G3">
        <v>90</v>
      </c>
      <c r="H3" t="s">
        <v>33</v>
      </c>
      <c r="I3">
        <f>IF(H3="clockwise",MOD(G3-MOD($AC$1,360),360),0)+IF(H3="counterclockwise",MOD(MOD($AC$1,360)-G3,360),0)+IF(H3="shortest path",MIN(MOD(G3-MOD($AC$1,360),360),MOD(MOD($AC$1,360)-G3,360)))</f>
        <v>211</v>
      </c>
      <c r="J3">
        <f>IF(H3="clockwise",1,IF(H3="counterclockwise",-1,IF(MOD(G3-MOD($AC$1,360),360)&gt;MOD(MOD($AC$1,360)-G3,360),-1,1)))*SUMIF(abaqus!A:A,CONCATENATE("=",ABS(F3)),abaqus!B:B)</f>
        <v>-7.0685835749999999</v>
      </c>
      <c r="K3">
        <f t="shared" ref="K3:K37" si="1">IF(D3="E",-J3,0)</f>
        <v>7.0685835749999999</v>
      </c>
      <c r="L3">
        <f>IF(D3="F",J3,0)</f>
        <v>0</v>
      </c>
      <c r="M3">
        <f>IF(D3="D",J3,0)</f>
        <v>0</v>
      </c>
      <c r="N3">
        <f>(K3+L3)*0.5*5.6/2</f>
        <v>9.8960170049999991</v>
      </c>
      <c r="O3">
        <f>(K3-L3)/3.97/2*5.6/2</f>
        <v>2.4926994974811079</v>
      </c>
      <c r="P3">
        <v>74.408060453401049</v>
      </c>
      <c r="Q3">
        <v>3.8239086379049185</v>
      </c>
      <c r="R3">
        <v>2.9029257244720625</v>
      </c>
      <c r="S3">
        <f t="shared" ref="S3:S37" si="2">IF(D3="E",$J3*$E3/3.1415927*180+$AC$1,0)</f>
        <v>810</v>
      </c>
      <c r="T3">
        <f t="shared" ref="T3:T37" si="3">IF(D3="F",$J3*$E3/3.1415927*180+$AC$1,0)</f>
        <v>0</v>
      </c>
      <c r="U3">
        <f t="shared" ref="U3:U37" si="4">IF(D3="D",$J3*$E3/3.1415927*180+$AC$1,0)</f>
        <v>0</v>
      </c>
    </row>
    <row r="4" spans="1:29" x14ac:dyDescent="0.55000000000000004">
      <c r="A4">
        <v>0</v>
      </c>
      <c r="B4">
        <v>0</v>
      </c>
      <c r="C4">
        <v>0</v>
      </c>
      <c r="D4" t="s">
        <v>0</v>
      </c>
      <c r="E4">
        <f t="shared" si="0"/>
        <v>0.36790123456790119</v>
      </c>
      <c r="F4">
        <v>50</v>
      </c>
      <c r="G4">
        <v>90</v>
      </c>
      <c r="H4" t="s">
        <v>34</v>
      </c>
      <c r="I4">
        <f>IF(H4="clockwise",MOD(G4-MOD($AC$1,360),360),0)+IF(H4="counterclockwise",MOD(MOD($AC$1,360)-G4,360),0)+IF(H4="shortest path",MIN(MOD(G4-MOD($AC$1,360),360),MOD(MOD($AC$1,360)-G4,360)))</f>
        <v>149</v>
      </c>
      <c r="J4">
        <f>IF(H4="clockwise",1,IF(H4="counterclockwise",-1,IF(MOD(G4-MOD($AC$1,360),360)&gt;MOD(MOD($AC$1,360)-G4,360),-1,1)))*SUMIF(abaqus!A:A,CONCATENATE("=",ABS(F4)),abaqus!B:B)</f>
        <v>7.0685835749999999</v>
      </c>
      <c r="K4">
        <f t="shared" si="1"/>
        <v>-7.0685835749999999</v>
      </c>
      <c r="L4">
        <f>IF(D4="F",J4,0)</f>
        <v>0</v>
      </c>
      <c r="M4">
        <f>IF(D4="D",J4,0)</f>
        <v>0</v>
      </c>
      <c r="N4">
        <f>(K4+L4)*0.5*5.6/2</f>
        <v>-9.8960170049999991</v>
      </c>
      <c r="O4">
        <f>(K4-L4)/3.97/2*5.6/2</f>
        <v>-2.4926994974811079</v>
      </c>
      <c r="P4">
        <v>-52.544080604534848</v>
      </c>
      <c r="Q4">
        <v>-3.1514729965738786</v>
      </c>
      <c r="R4">
        <v>1.5556399363011013</v>
      </c>
      <c r="S4">
        <f t="shared" si="2"/>
        <v>1170</v>
      </c>
      <c r="T4">
        <f t="shared" si="3"/>
        <v>0</v>
      </c>
      <c r="U4">
        <f t="shared" si="4"/>
        <v>0</v>
      </c>
    </row>
    <row r="5" spans="1:29" x14ac:dyDescent="0.55000000000000004">
      <c r="A5">
        <v>0</v>
      </c>
      <c r="B5">
        <v>0</v>
      </c>
      <c r="C5">
        <v>0</v>
      </c>
      <c r="D5" t="s">
        <v>4</v>
      </c>
      <c r="E5">
        <f>ABS(I5/180*3.1415927/J5)</f>
        <v>0.36790123456790119</v>
      </c>
      <c r="F5">
        <v>50</v>
      </c>
      <c r="G5">
        <v>90</v>
      </c>
      <c r="H5" t="s">
        <v>24</v>
      </c>
      <c r="I5">
        <f>IF(H5="clockwise",MOD(G5-MOD($AC$1,360),360),0)+IF(H5="counterclockwise",MOD(MOD($AC$1,360)-G5,360),0)+IF(H5="shortest path",MIN(MOD(G5-MOD($AC$1,360),360),MOD(MOD($AC$1,360)-G5,360)))</f>
        <v>149</v>
      </c>
      <c r="J5">
        <f>IF(H5="clockwise",1,IF(H5="counterclockwise",-1,IF(MOD(G5-MOD($AC$1,360),360)&gt;MOD(MOD($AC$1,360)-G5,360),-1,1)))*SUMIF(abaqus!A:A,CONCATENATE("=",ABS(F5)),abaqus!B:B)</f>
        <v>7.0685835749999999</v>
      </c>
      <c r="K5">
        <f t="shared" si="1"/>
        <v>0</v>
      </c>
      <c r="L5">
        <f>IF(D5="F",J5,0)</f>
        <v>7.0685835749999999</v>
      </c>
      <c r="M5">
        <f>IF(D5="D",J5,0)</f>
        <v>0</v>
      </c>
      <c r="N5">
        <f>(K5+L5)*0.5*5.6/2</f>
        <v>9.8960170049999991</v>
      </c>
      <c r="O5">
        <f>(K5-L5)/3.97/2*5.6/2</f>
        <v>-2.4926994974811079</v>
      </c>
      <c r="P5">
        <v>-52.544080604534848</v>
      </c>
      <c r="Q5">
        <v>3.1514729965738786</v>
      </c>
      <c r="R5">
        <v>-1.5556399363011013</v>
      </c>
      <c r="S5">
        <f t="shared" si="2"/>
        <v>0</v>
      </c>
      <c r="T5">
        <f t="shared" si="3"/>
        <v>1170</v>
      </c>
      <c r="U5">
        <f t="shared" si="4"/>
        <v>0</v>
      </c>
    </row>
    <row r="6" spans="1:29" x14ac:dyDescent="0.55000000000000004">
      <c r="A6">
        <v>0</v>
      </c>
      <c r="B6">
        <v>0</v>
      </c>
      <c r="C6">
        <v>0</v>
      </c>
      <c r="D6" t="s">
        <v>4</v>
      </c>
      <c r="E6">
        <f t="shared" si="0"/>
        <v>0.5209876543209877</v>
      </c>
      <c r="F6">
        <v>50</v>
      </c>
      <c r="G6">
        <v>90</v>
      </c>
      <c r="H6" t="s">
        <v>33</v>
      </c>
      <c r="I6">
        <f>IF(H6="clockwise",MOD(G6-MOD($AC$1,360),360),0)+IF(H6="counterclockwise",MOD(MOD($AC$1,360)-G6,360),0)+IF(H6="shortest path",MIN(MOD(G6-MOD($AC$1,360),360),MOD(MOD($AC$1,360)-G6,360)))</f>
        <v>211</v>
      </c>
      <c r="J6">
        <f>IF(H6="clockwise",1,IF(H6="counterclockwise",-1,IF(MOD(G6-MOD($AC$1,360),360)&gt;MOD(MOD($AC$1,360)-G6,360),-1,1)))*SUMIF(abaqus!A:A,CONCATENATE("=",ABS(F6)),abaqus!B:B)</f>
        <v>-7.0685835749999999</v>
      </c>
      <c r="K6">
        <f t="shared" si="1"/>
        <v>0</v>
      </c>
      <c r="L6">
        <f>IF(D6="F",J6,0)</f>
        <v>-7.0685835749999999</v>
      </c>
      <c r="M6">
        <f>IF(D6="D",J6,0)</f>
        <v>0</v>
      </c>
      <c r="N6">
        <f>(K6+L6)*0.5*5.6/2</f>
        <v>-9.8960170049999991</v>
      </c>
      <c r="O6">
        <f>(K6-L6)/3.97/2*5.6/2</f>
        <v>2.4926994974811079</v>
      </c>
      <c r="P6">
        <v>74.408060453401049</v>
      </c>
      <c r="Q6">
        <v>-3.8239086379049185</v>
      </c>
      <c r="R6">
        <v>-2.9029257244720625</v>
      </c>
      <c r="S6">
        <f t="shared" si="2"/>
        <v>0</v>
      </c>
      <c r="T6">
        <f t="shared" si="3"/>
        <v>810</v>
      </c>
      <c r="U6">
        <f t="shared" si="4"/>
        <v>0</v>
      </c>
    </row>
    <row r="7" spans="1:29" x14ac:dyDescent="0.55000000000000004">
      <c r="A7">
        <v>0</v>
      </c>
      <c r="B7">
        <v>0</v>
      </c>
      <c r="C7">
        <v>0</v>
      </c>
      <c r="D7" t="s">
        <v>4</v>
      </c>
      <c r="E7">
        <f t="shared" si="0"/>
        <v>0.36790123456790119</v>
      </c>
      <c r="F7">
        <v>50</v>
      </c>
      <c r="G7">
        <v>90</v>
      </c>
      <c r="H7" t="s">
        <v>34</v>
      </c>
      <c r="I7">
        <f>IF(H7="clockwise",MOD(G7-MOD($AC$1,360),360),0)+IF(H7="counterclockwise",MOD(MOD($AC$1,360)-G7,360),0)+IF(H7="shortest path",MIN(MOD(G7-MOD($AC$1,360),360),MOD(MOD($AC$1,360)-G7,360)))</f>
        <v>149</v>
      </c>
      <c r="J7">
        <f>IF(H7="clockwise",1,IF(H7="counterclockwise",-1,IF(MOD(G7-MOD($AC$1,360),360)&gt;MOD(MOD($AC$1,360)-G7,360),-1,1)))*SUMIF(abaqus!A:A,CONCATENATE("=",ABS(F7)),abaqus!B:B)</f>
        <v>7.0685835749999999</v>
      </c>
      <c r="K7">
        <f t="shared" si="1"/>
        <v>0</v>
      </c>
      <c r="L7">
        <f>IF(D7="F",J7,0)</f>
        <v>7.0685835749999999</v>
      </c>
      <c r="M7">
        <f>IF(D7="D",J7,0)</f>
        <v>0</v>
      </c>
      <c r="N7">
        <f>(K7+L7)*0.5*5.6/2</f>
        <v>9.8960170049999991</v>
      </c>
      <c r="O7">
        <f>(K7-L7)/3.97/2*5.6/2</f>
        <v>-2.4926994974811079</v>
      </c>
      <c r="P7">
        <v>-52.544080604534848</v>
      </c>
      <c r="Q7">
        <v>3.1514729965738786</v>
      </c>
      <c r="R7">
        <v>-1.5556399363011013</v>
      </c>
      <c r="S7">
        <f t="shared" si="2"/>
        <v>0</v>
      </c>
      <c r="T7">
        <f t="shared" si="3"/>
        <v>1170</v>
      </c>
      <c r="U7">
        <f t="shared" si="4"/>
        <v>0</v>
      </c>
    </row>
    <row r="8" spans="1:29" x14ac:dyDescent="0.55000000000000004">
      <c r="A8">
        <v>0</v>
      </c>
      <c r="B8">
        <v>0</v>
      </c>
      <c r="C8">
        <v>0</v>
      </c>
      <c r="D8" t="s">
        <v>18</v>
      </c>
      <c r="E8">
        <f t="shared" si="0"/>
        <v>0.36790123456790119</v>
      </c>
      <c r="F8">
        <v>50</v>
      </c>
      <c r="G8">
        <v>90</v>
      </c>
      <c r="H8" t="s">
        <v>24</v>
      </c>
      <c r="I8">
        <f>IF(H8="clockwise",MOD(G8-MOD($AC$1,360),360),0)+IF(H8="counterclockwise",MOD(MOD($AC$1,360)-G8,360),0)+IF(H8="shortest path",MIN(MOD(G8-MOD($AC$1,360),360),MOD(MOD($AC$1,360)-G8,360)))</f>
        <v>149</v>
      </c>
      <c r="J8">
        <f>IF(H8="clockwise",1,IF(H8="counterclockwise",-1,IF(MOD(G8-MOD($AC$1,360),360)&gt;MOD(MOD($AC$1,360)-G8,360),-1,1)))*SUMIF(abaqus!A:A,CONCATENATE("=",ABS(F8)),abaqus!B:B)</f>
        <v>7.0685835749999999</v>
      </c>
      <c r="K8">
        <f t="shared" si="1"/>
        <v>0</v>
      </c>
      <c r="L8">
        <f>IF(D8="F",J8,0)</f>
        <v>0</v>
      </c>
      <c r="M8">
        <f>IF(D8="D",J8,0)</f>
        <v>7.0685835749999999</v>
      </c>
      <c r="N8">
        <f>(K8+L8)*0.5*5.6/2</f>
        <v>0</v>
      </c>
      <c r="O8">
        <f>(K8-L8)/3.97/2*5.6/2</f>
        <v>0</v>
      </c>
      <c r="P8">
        <v>0</v>
      </c>
      <c r="Q8">
        <v>0</v>
      </c>
      <c r="R8">
        <v>0</v>
      </c>
      <c r="S8">
        <f t="shared" si="2"/>
        <v>0</v>
      </c>
      <c r="T8">
        <f t="shared" si="3"/>
        <v>0</v>
      </c>
      <c r="U8">
        <f t="shared" si="4"/>
        <v>1170</v>
      </c>
    </row>
    <row r="9" spans="1:29" x14ac:dyDescent="0.55000000000000004">
      <c r="A9">
        <v>0</v>
      </c>
      <c r="B9">
        <v>0</v>
      </c>
      <c r="C9">
        <v>0</v>
      </c>
      <c r="D9" t="s">
        <v>18</v>
      </c>
      <c r="E9">
        <f>ABS(I9/180*3.1415927/J9)</f>
        <v>0.5209876543209877</v>
      </c>
      <c r="F9">
        <v>50</v>
      </c>
      <c r="G9">
        <v>90</v>
      </c>
      <c r="H9" t="s">
        <v>33</v>
      </c>
      <c r="I9">
        <f>IF(H9="clockwise",MOD(G9-MOD($AC$1,360),360),0)+IF(H9="counterclockwise",MOD(MOD($AC$1,360)-G9,360),0)+IF(H9="shortest path",MIN(MOD(G9-MOD($AC$1,360),360),MOD(MOD($AC$1,360)-G9,360)))</f>
        <v>211</v>
      </c>
      <c r="J9">
        <f>IF(H9="clockwise",1,IF(H9="counterclockwise",-1,IF(MOD(G9-MOD($AC$1,360),360)&gt;MOD(MOD($AC$1,360)-G9,360),-1,1)))*SUMIF(abaqus!A:A,CONCATENATE("=",ABS(F9)),abaqus!B:B)</f>
        <v>-7.0685835749999999</v>
      </c>
      <c r="K9">
        <f t="shared" si="1"/>
        <v>0</v>
      </c>
      <c r="L9">
        <f>IF(D9="F",J9,0)</f>
        <v>0</v>
      </c>
      <c r="M9">
        <f>IF(D9="D",J9,0)</f>
        <v>-7.0685835749999999</v>
      </c>
      <c r="N9">
        <f>(K9+L9)*0.5*5.6/2</f>
        <v>0</v>
      </c>
      <c r="O9">
        <f>(K9-L9)/3.97/2*5.6/2</f>
        <v>0</v>
      </c>
      <c r="P9">
        <v>0</v>
      </c>
      <c r="Q9">
        <v>0</v>
      </c>
      <c r="R9">
        <v>0</v>
      </c>
      <c r="S9">
        <f t="shared" si="2"/>
        <v>0</v>
      </c>
      <c r="T9">
        <f t="shared" si="3"/>
        <v>0</v>
      </c>
      <c r="U9">
        <f t="shared" si="4"/>
        <v>810</v>
      </c>
    </row>
    <row r="10" spans="1:29" x14ac:dyDescent="0.55000000000000004">
      <c r="A10">
        <v>0</v>
      </c>
      <c r="B10">
        <v>0</v>
      </c>
      <c r="C10">
        <v>0</v>
      </c>
      <c r="D10" t="s">
        <v>18</v>
      </c>
      <c r="E10">
        <f t="shared" si="0"/>
        <v>0.36790123456790119</v>
      </c>
      <c r="F10">
        <v>50</v>
      </c>
      <c r="G10">
        <v>90</v>
      </c>
      <c r="H10" t="s">
        <v>34</v>
      </c>
      <c r="I10">
        <f>IF(H10="clockwise",MOD(G10-MOD($AC$1,360),360),0)+IF(H10="counterclockwise",MOD(MOD($AC$1,360)-G10,360),0)+IF(H10="shortest path",MIN(MOD(G10-MOD($AC$1,360),360),MOD(MOD($AC$1,360)-G10,360)))</f>
        <v>149</v>
      </c>
      <c r="J10">
        <f>IF(H10="clockwise",1,IF(H10="counterclockwise",-1,IF(MOD(G10-MOD($AC$1,360),360)&gt;MOD(MOD($AC$1,360)-G10,360),-1,1)))*SUMIF(abaqus!A:A,CONCATENATE("=",ABS(F10)),abaqus!B:B)</f>
        <v>7.0685835749999999</v>
      </c>
      <c r="K10">
        <f t="shared" si="1"/>
        <v>0</v>
      </c>
      <c r="L10">
        <f>IF(D10="F",J10,0)</f>
        <v>0</v>
      </c>
      <c r="M10">
        <f>IF(D10="D",J10,0)</f>
        <v>7.0685835749999999</v>
      </c>
      <c r="N10">
        <f>(K10+L10)*0.5*5.6/2</f>
        <v>0</v>
      </c>
      <c r="O10">
        <f>(K10-L10)/3.97/2*5.6/2</f>
        <v>0</v>
      </c>
      <c r="P10">
        <v>0</v>
      </c>
      <c r="Q10">
        <v>0</v>
      </c>
      <c r="R10">
        <v>0</v>
      </c>
      <c r="S10">
        <f t="shared" si="2"/>
        <v>0</v>
      </c>
      <c r="T10">
        <f t="shared" si="3"/>
        <v>0</v>
      </c>
      <c r="U10">
        <f t="shared" si="4"/>
        <v>1170</v>
      </c>
    </row>
    <row r="11" spans="1:29" x14ac:dyDescent="0.55000000000000004">
      <c r="A11">
        <v>0</v>
      </c>
      <c r="B11">
        <v>0</v>
      </c>
      <c r="C11">
        <v>0</v>
      </c>
      <c r="D11" t="s">
        <v>0</v>
      </c>
      <c r="E11">
        <f t="shared" ref="E11:E19" si="5">ABS(I11/180*3.1415927/J11)</f>
        <v>0.81234567901234567</v>
      </c>
      <c r="F11">
        <v>50</v>
      </c>
      <c r="G11">
        <v>270</v>
      </c>
      <c r="H11" t="s">
        <v>24</v>
      </c>
      <c r="I11">
        <f>IF(H11="clockwise",MOD(G11-MOD($AC$1,360),360),0)+IF(H11="counterclockwise",MOD(MOD($AC$1,360)-G11,360),0)+IF(H11="shortest path",MIN(MOD(G11-MOD($AC$1,360),360),MOD(MOD($AC$1,360)-G11,360)))</f>
        <v>329</v>
      </c>
      <c r="J11">
        <f>IF(H11="clockwise",1,IF(H11="counterclockwise",-1,IF(MOD(G11-MOD($AC$1,360),360)&gt;MOD(MOD($AC$1,360)-G11,360),-1,1)))*SUMIF(abaqus!A:A,CONCATENATE("=",ABS(F11)),abaqus!B:B)</f>
        <v>7.0685835749999999</v>
      </c>
      <c r="K11">
        <f t="shared" si="1"/>
        <v>-7.0685835749999999</v>
      </c>
      <c r="L11">
        <f>IF(D11="F",J11,0)</f>
        <v>0</v>
      </c>
      <c r="M11">
        <f>IF(D11="D",J11,0)</f>
        <v>0</v>
      </c>
      <c r="N11">
        <f>(K11+L11)*0.5*5.6/2</f>
        <v>-9.8960170049999991</v>
      </c>
      <c r="O11">
        <f>(K11-L11)/3.97/2*5.6/2</f>
        <v>-2.4926994974811079</v>
      </c>
      <c r="P11">
        <v>-116.02015113350463</v>
      </c>
      <c r="Q11">
        <v>-3.5676015652664765</v>
      </c>
      <c r="R11">
        <v>5.7115894203136639</v>
      </c>
      <c r="S11">
        <f t="shared" si="2"/>
        <v>1350</v>
      </c>
      <c r="T11">
        <f t="shared" si="3"/>
        <v>0</v>
      </c>
      <c r="U11">
        <f t="shared" si="4"/>
        <v>0</v>
      </c>
    </row>
    <row r="12" spans="1:29" x14ac:dyDescent="0.55000000000000004">
      <c r="A12">
        <v>0</v>
      </c>
      <c r="B12">
        <v>0</v>
      </c>
      <c r="C12">
        <v>0</v>
      </c>
      <c r="D12" t="s">
        <v>0</v>
      </c>
      <c r="E12">
        <f t="shared" si="5"/>
        <v>7.65432098765432E-2</v>
      </c>
      <c r="F12">
        <v>50</v>
      </c>
      <c r="G12">
        <v>270</v>
      </c>
      <c r="H12" t="s">
        <v>33</v>
      </c>
      <c r="I12">
        <f>IF(H12="clockwise",MOD(G12-MOD($AC$1,360),360),0)+IF(H12="counterclockwise",MOD(MOD($AC$1,360)-G12,360),0)+IF(H12="shortest path",MIN(MOD(G12-MOD($AC$1,360),360),MOD(MOD($AC$1,360)-G12,360)))</f>
        <v>31</v>
      </c>
      <c r="J12">
        <f>IF(H12="clockwise",1,IF(H12="counterclockwise",-1,IF(MOD(G12-MOD($AC$1,360),360)&gt;MOD(MOD($AC$1,360)-G12,360),-1,1)))*SUMIF(abaqus!A:A,CONCATENATE("=",ABS(F12)),abaqus!B:B)</f>
        <v>-7.0685835749999999</v>
      </c>
      <c r="K12">
        <f t="shared" si="1"/>
        <v>7.0685835749999999</v>
      </c>
      <c r="L12">
        <f>IF(D12="F",J12,0)</f>
        <v>0</v>
      </c>
      <c r="M12">
        <f>IF(D12="D",J12,0)</f>
        <v>0</v>
      </c>
      <c r="N12">
        <f>(K12+L12)*0.5*5.6/2</f>
        <v>9.8960170049999991</v>
      </c>
      <c r="O12">
        <f>(K12-L12)/3.97/2*5.6/2</f>
        <v>2.4926994974811079</v>
      </c>
      <c r="P12">
        <v>10.931989924433216</v>
      </c>
      <c r="Q12">
        <v>0.75288543400955343</v>
      </c>
      <c r="R12">
        <v>7.2043645302453496E-2</v>
      </c>
      <c r="S12">
        <f t="shared" si="2"/>
        <v>990</v>
      </c>
      <c r="T12">
        <f t="shared" si="3"/>
        <v>0</v>
      </c>
      <c r="U12">
        <f t="shared" si="4"/>
        <v>0</v>
      </c>
    </row>
    <row r="13" spans="1:29" x14ac:dyDescent="0.55000000000000004">
      <c r="A13">
        <v>0</v>
      </c>
      <c r="B13">
        <v>0</v>
      </c>
      <c r="C13">
        <v>0</v>
      </c>
      <c r="D13" t="s">
        <v>0</v>
      </c>
      <c r="E13">
        <f t="shared" si="5"/>
        <v>7.65432098765432E-2</v>
      </c>
      <c r="F13">
        <v>50</v>
      </c>
      <c r="G13">
        <v>270</v>
      </c>
      <c r="H13" t="s">
        <v>34</v>
      </c>
      <c r="I13">
        <f>IF(H13="clockwise",MOD(G13-MOD($AC$1,360),360),0)+IF(H13="counterclockwise",MOD(MOD($AC$1,360)-G13,360),0)+IF(H13="shortest path",MIN(MOD(G13-MOD($AC$1,360),360),MOD(MOD($AC$1,360)-G13,360)))</f>
        <v>31</v>
      </c>
      <c r="J13">
        <f>IF(H13="clockwise",1,IF(H13="counterclockwise",-1,IF(MOD(G13-MOD($AC$1,360),360)&gt;MOD(MOD($AC$1,360)-G13,360),-1,1)))*SUMIF(abaqus!A:A,CONCATENATE("=",ABS(F13)),abaqus!B:B)</f>
        <v>-7.0685835749999999</v>
      </c>
      <c r="K13">
        <f t="shared" si="1"/>
        <v>7.0685835749999999</v>
      </c>
      <c r="L13">
        <f>IF(D13="F",J13,0)</f>
        <v>0</v>
      </c>
      <c r="M13">
        <f>IF(D13="D",J13,0)</f>
        <v>0</v>
      </c>
      <c r="N13">
        <f>(K13+L13)*0.5*5.6/2</f>
        <v>9.8960170049999991</v>
      </c>
      <c r="O13">
        <f>(K13-L13)/3.97/2*5.6/2</f>
        <v>2.4926994974811079</v>
      </c>
      <c r="P13">
        <v>10.931989924433216</v>
      </c>
      <c r="Q13">
        <v>0.75288543400955343</v>
      </c>
      <c r="R13">
        <v>7.2043645302453496E-2</v>
      </c>
      <c r="S13">
        <f t="shared" si="2"/>
        <v>990</v>
      </c>
      <c r="T13">
        <f t="shared" si="3"/>
        <v>0</v>
      </c>
      <c r="U13">
        <f t="shared" si="4"/>
        <v>0</v>
      </c>
    </row>
    <row r="14" spans="1:29" x14ac:dyDescent="0.55000000000000004">
      <c r="A14">
        <v>0</v>
      </c>
      <c r="B14">
        <v>0</v>
      </c>
      <c r="C14">
        <v>0</v>
      </c>
      <c r="D14" t="s">
        <v>4</v>
      </c>
      <c r="E14">
        <f>ABS(I14/180*3.1415927/J14)</f>
        <v>0.81234567901234567</v>
      </c>
      <c r="F14">
        <v>50</v>
      </c>
      <c r="G14">
        <v>270</v>
      </c>
      <c r="H14" t="s">
        <v>24</v>
      </c>
      <c r="I14">
        <f>IF(H14="clockwise",MOD(G14-MOD($AC$1,360),360),0)+IF(H14="counterclockwise",MOD(MOD($AC$1,360)-G14,360),0)+IF(H14="shortest path",MIN(MOD(G14-MOD($AC$1,360),360),MOD(MOD($AC$1,360)-G14,360)))</f>
        <v>329</v>
      </c>
      <c r="J14">
        <f>IF(H14="clockwise",1,IF(H14="counterclockwise",-1,IF(MOD(G14-MOD($AC$1,360),360)&gt;MOD(MOD($AC$1,360)-G14,360),-1,1)))*SUMIF(abaqus!A:A,CONCATENATE("=",ABS(F14)),abaqus!B:B)</f>
        <v>7.0685835749999999</v>
      </c>
      <c r="K14">
        <f t="shared" si="1"/>
        <v>0</v>
      </c>
      <c r="L14">
        <f>IF(D14="F",J14,0)</f>
        <v>7.0685835749999999</v>
      </c>
      <c r="M14">
        <f>IF(D14="D",J14,0)</f>
        <v>0</v>
      </c>
      <c r="N14">
        <f>(K14+L14)*0.5*5.6/2</f>
        <v>9.8960170049999991</v>
      </c>
      <c r="O14">
        <f>(K14-L14)/3.97/2*5.6/2</f>
        <v>-2.4926994974811079</v>
      </c>
      <c r="P14">
        <v>-116.02015113350463</v>
      </c>
      <c r="Q14">
        <v>3.5676015652664765</v>
      </c>
      <c r="R14">
        <v>-5.7115894203136639</v>
      </c>
      <c r="S14">
        <f t="shared" si="2"/>
        <v>0</v>
      </c>
      <c r="T14">
        <f t="shared" si="3"/>
        <v>1350</v>
      </c>
      <c r="U14">
        <f t="shared" si="4"/>
        <v>0</v>
      </c>
    </row>
    <row r="15" spans="1:29" x14ac:dyDescent="0.55000000000000004">
      <c r="A15">
        <v>0</v>
      </c>
      <c r="B15">
        <v>0</v>
      </c>
      <c r="C15">
        <v>0</v>
      </c>
      <c r="D15" t="s">
        <v>4</v>
      </c>
      <c r="E15">
        <f t="shared" ref="E15:E19" si="6">ABS(I15/180*3.1415927/J15)</f>
        <v>7.65432098765432E-2</v>
      </c>
      <c r="F15">
        <v>50</v>
      </c>
      <c r="G15">
        <v>270</v>
      </c>
      <c r="H15" t="s">
        <v>33</v>
      </c>
      <c r="I15">
        <f>IF(H15="clockwise",MOD(G15-MOD($AC$1,360),360),0)+IF(H15="counterclockwise",MOD(MOD($AC$1,360)-G15,360),0)+IF(H15="shortest path",MIN(MOD(G15-MOD($AC$1,360),360),MOD(MOD($AC$1,360)-G15,360)))</f>
        <v>31</v>
      </c>
      <c r="J15">
        <f>IF(H15="clockwise",1,IF(H15="counterclockwise",-1,IF(MOD(G15-MOD($AC$1,360),360)&gt;MOD(MOD($AC$1,360)-G15,360),-1,1)))*SUMIF(abaqus!A:A,CONCATENATE("=",ABS(F15)),abaqus!B:B)</f>
        <v>-7.0685835749999999</v>
      </c>
      <c r="K15">
        <f t="shared" si="1"/>
        <v>0</v>
      </c>
      <c r="L15">
        <f>IF(D15="F",J15,0)</f>
        <v>-7.0685835749999999</v>
      </c>
      <c r="M15">
        <f>IF(D15="D",J15,0)</f>
        <v>0</v>
      </c>
      <c r="N15">
        <f>(K15+L15)*0.5*5.6/2</f>
        <v>-9.8960170049999991</v>
      </c>
      <c r="O15">
        <f>(K15-L15)/3.97/2*5.6/2</f>
        <v>2.4926994974811079</v>
      </c>
      <c r="P15">
        <v>10.931989924433216</v>
      </c>
      <c r="Q15">
        <v>-0.75288543400955343</v>
      </c>
      <c r="R15">
        <v>-7.2043645302453496E-2</v>
      </c>
      <c r="S15">
        <f t="shared" si="2"/>
        <v>0</v>
      </c>
      <c r="T15">
        <f t="shared" si="3"/>
        <v>990</v>
      </c>
      <c r="U15">
        <f t="shared" si="4"/>
        <v>0</v>
      </c>
    </row>
    <row r="16" spans="1:29" x14ac:dyDescent="0.55000000000000004">
      <c r="A16">
        <v>0</v>
      </c>
      <c r="B16">
        <v>0</v>
      </c>
      <c r="C16">
        <v>0</v>
      </c>
      <c r="D16" t="s">
        <v>4</v>
      </c>
      <c r="E16">
        <f t="shared" si="6"/>
        <v>7.65432098765432E-2</v>
      </c>
      <c r="F16">
        <v>50</v>
      </c>
      <c r="G16">
        <v>270</v>
      </c>
      <c r="H16" t="s">
        <v>34</v>
      </c>
      <c r="I16">
        <f>IF(H16="clockwise",MOD(G16-MOD($AC$1,360),360),0)+IF(H16="counterclockwise",MOD(MOD($AC$1,360)-G16,360),0)+IF(H16="shortest path",MIN(MOD(G16-MOD($AC$1,360),360),MOD(MOD($AC$1,360)-G16,360)))</f>
        <v>31</v>
      </c>
      <c r="J16">
        <f>IF(H16="clockwise",1,IF(H16="counterclockwise",-1,IF(MOD(G16-MOD($AC$1,360),360)&gt;MOD(MOD($AC$1,360)-G16,360),-1,1)))*SUMIF(abaqus!A:A,CONCATENATE("=",ABS(F16)),abaqus!B:B)</f>
        <v>-7.0685835749999999</v>
      </c>
      <c r="K16">
        <f t="shared" si="1"/>
        <v>0</v>
      </c>
      <c r="L16">
        <f>IF(D16="F",J16,0)</f>
        <v>-7.0685835749999999</v>
      </c>
      <c r="M16">
        <f>IF(D16="D",J16,0)</f>
        <v>0</v>
      </c>
      <c r="N16">
        <f>(K16+L16)*0.5*5.6/2</f>
        <v>-9.8960170049999991</v>
      </c>
      <c r="O16">
        <f>(K16-L16)/3.97/2*5.6/2</f>
        <v>2.4926994974811079</v>
      </c>
      <c r="P16">
        <v>10.931989924433216</v>
      </c>
      <c r="Q16">
        <v>-0.75288543400955343</v>
      </c>
      <c r="R16">
        <v>-7.2043645302453496E-2</v>
      </c>
      <c r="S16">
        <f t="shared" si="2"/>
        <v>0</v>
      </c>
      <c r="T16">
        <f t="shared" si="3"/>
        <v>990</v>
      </c>
      <c r="U16">
        <f t="shared" si="4"/>
        <v>0</v>
      </c>
    </row>
    <row r="17" spans="1:21" x14ac:dyDescent="0.55000000000000004">
      <c r="A17">
        <v>0</v>
      </c>
      <c r="B17">
        <v>0</v>
      </c>
      <c r="C17">
        <v>0</v>
      </c>
      <c r="D17" t="s">
        <v>18</v>
      </c>
      <c r="E17">
        <f t="shared" si="6"/>
        <v>0.81234567901234567</v>
      </c>
      <c r="F17">
        <v>50</v>
      </c>
      <c r="G17">
        <v>270</v>
      </c>
      <c r="H17" t="s">
        <v>24</v>
      </c>
      <c r="I17">
        <f>IF(H17="clockwise",MOD(G17-MOD($AC$1,360),360),0)+IF(H17="counterclockwise",MOD(MOD($AC$1,360)-G17,360),0)+IF(H17="shortest path",MIN(MOD(G17-MOD($AC$1,360),360),MOD(MOD($AC$1,360)-G17,360)))</f>
        <v>329</v>
      </c>
      <c r="J17">
        <f>IF(H17="clockwise",1,IF(H17="counterclockwise",-1,IF(MOD(G17-MOD($AC$1,360),360)&gt;MOD(MOD($AC$1,360)-G17,360),-1,1)))*SUMIF(abaqus!A:A,CONCATENATE("=",ABS(F17)),abaqus!B:B)</f>
        <v>7.0685835749999999</v>
      </c>
      <c r="K17">
        <f t="shared" si="1"/>
        <v>0</v>
      </c>
      <c r="L17">
        <f>IF(D17="F",J17,0)</f>
        <v>0</v>
      </c>
      <c r="M17">
        <f>IF(D17="D",J17,0)</f>
        <v>7.0685835749999999</v>
      </c>
      <c r="N17">
        <f>(K17+L17)*0.5*5.6/2</f>
        <v>0</v>
      </c>
      <c r="O17">
        <f>(K17-L17)/3.97/2*5.6/2</f>
        <v>0</v>
      </c>
      <c r="P17">
        <v>0</v>
      </c>
      <c r="Q17">
        <v>0</v>
      </c>
      <c r="R17">
        <v>0</v>
      </c>
      <c r="S17">
        <f t="shared" si="2"/>
        <v>0</v>
      </c>
      <c r="T17">
        <f t="shared" si="3"/>
        <v>0</v>
      </c>
      <c r="U17">
        <f t="shared" si="4"/>
        <v>1350</v>
      </c>
    </row>
    <row r="18" spans="1:21" x14ac:dyDescent="0.55000000000000004">
      <c r="A18">
        <v>0</v>
      </c>
      <c r="B18">
        <v>0</v>
      </c>
      <c r="C18">
        <v>0</v>
      </c>
      <c r="D18" t="s">
        <v>18</v>
      </c>
      <c r="E18">
        <f>ABS(I18/180*3.1415927/J18)</f>
        <v>7.65432098765432E-2</v>
      </c>
      <c r="F18">
        <v>50</v>
      </c>
      <c r="G18">
        <v>270</v>
      </c>
      <c r="H18" t="s">
        <v>33</v>
      </c>
      <c r="I18">
        <f>IF(H18="clockwise",MOD(G18-MOD($AC$1,360),360),0)+IF(H18="counterclockwise",MOD(MOD($AC$1,360)-G18,360),0)+IF(H18="shortest path",MIN(MOD(G18-MOD($AC$1,360),360),MOD(MOD($AC$1,360)-G18,360)))</f>
        <v>31</v>
      </c>
      <c r="J18">
        <f>IF(H18="clockwise",1,IF(H18="counterclockwise",-1,IF(MOD(G18-MOD($AC$1,360),360)&gt;MOD(MOD($AC$1,360)-G18,360),-1,1)))*SUMIF(abaqus!A:A,CONCATENATE("=",ABS(F18)),abaqus!B:B)</f>
        <v>-7.0685835749999999</v>
      </c>
      <c r="K18">
        <f t="shared" si="1"/>
        <v>0</v>
      </c>
      <c r="L18">
        <f>IF(D18="F",J18,0)</f>
        <v>0</v>
      </c>
      <c r="M18">
        <f>IF(D18="D",J18,0)</f>
        <v>-7.0685835749999999</v>
      </c>
      <c r="N18">
        <f>(K18+L18)*0.5*5.6/2</f>
        <v>0</v>
      </c>
      <c r="O18">
        <f>(K18-L18)/3.97/2*5.6/2</f>
        <v>0</v>
      </c>
      <c r="P18">
        <v>0</v>
      </c>
      <c r="Q18">
        <v>0</v>
      </c>
      <c r="R18">
        <v>0</v>
      </c>
      <c r="S18">
        <f t="shared" si="2"/>
        <v>0</v>
      </c>
      <c r="T18">
        <f t="shared" si="3"/>
        <v>0</v>
      </c>
      <c r="U18">
        <f t="shared" si="4"/>
        <v>990</v>
      </c>
    </row>
    <row r="19" spans="1:21" x14ac:dyDescent="0.55000000000000004">
      <c r="A19">
        <v>0</v>
      </c>
      <c r="B19">
        <v>0</v>
      </c>
      <c r="C19">
        <v>0</v>
      </c>
      <c r="D19" t="s">
        <v>18</v>
      </c>
      <c r="E19">
        <f t="shared" ref="E19:E22" si="7">ABS(I19/180*3.1415927/J19)</f>
        <v>7.65432098765432E-2</v>
      </c>
      <c r="F19">
        <v>50</v>
      </c>
      <c r="G19">
        <v>270</v>
      </c>
      <c r="H19" t="s">
        <v>34</v>
      </c>
      <c r="I19">
        <f>IF(H19="clockwise",MOD(G19-MOD($AC$1,360),360),0)+IF(H19="counterclockwise",MOD(MOD($AC$1,360)-G19,360),0)+IF(H19="shortest path",MIN(MOD(G19-MOD($AC$1,360),360),MOD(MOD($AC$1,360)-G19,360)))</f>
        <v>31</v>
      </c>
      <c r="J19">
        <f>IF(H19="clockwise",1,IF(H19="counterclockwise",-1,IF(MOD(G19-MOD($AC$1,360),360)&gt;MOD(MOD($AC$1,360)-G19,360),-1,1)))*SUMIF(abaqus!A:A,CONCATENATE("=",ABS(F19)),abaqus!B:B)</f>
        <v>-7.0685835749999999</v>
      </c>
      <c r="K19">
        <f t="shared" si="1"/>
        <v>0</v>
      </c>
      <c r="L19">
        <f>IF(D19="F",J19,0)</f>
        <v>0</v>
      </c>
      <c r="M19">
        <f>IF(D19="D",J19,0)</f>
        <v>-7.0685835749999999</v>
      </c>
      <c r="N19">
        <f>(K19+L19)*0.5*5.6/2</f>
        <v>0</v>
      </c>
      <c r="O19">
        <f>(K19-L19)/3.97/2*5.6/2</f>
        <v>0</v>
      </c>
      <c r="P19">
        <v>0</v>
      </c>
      <c r="Q19">
        <v>0</v>
      </c>
      <c r="R19">
        <v>0</v>
      </c>
      <c r="S19">
        <f t="shared" si="2"/>
        <v>0</v>
      </c>
      <c r="T19">
        <f t="shared" si="3"/>
        <v>0</v>
      </c>
      <c r="U19">
        <f t="shared" si="4"/>
        <v>990</v>
      </c>
    </row>
    <row r="20" spans="1:21" x14ac:dyDescent="0.55000000000000004">
      <c r="A20">
        <v>0</v>
      </c>
      <c r="B20">
        <v>0</v>
      </c>
      <c r="C20">
        <v>0</v>
      </c>
      <c r="D20" t="s">
        <v>0</v>
      </c>
      <c r="E20">
        <f t="shared" si="7"/>
        <v>0.57777777777777783</v>
      </c>
      <c r="F20">
        <v>50</v>
      </c>
      <c r="G20">
        <v>175</v>
      </c>
      <c r="H20" t="s">
        <v>24</v>
      </c>
      <c r="I20">
        <f>IF(H20="clockwise",MOD(G20-MOD($AC$1,360),360),0)+IF(H20="counterclockwise",MOD(MOD($AC$1,360)-G20,360),0)+IF(H20="shortest path",MIN(MOD(G20-MOD($AC$1,360),360),MOD(MOD($AC$1,360)-G20,360)))</f>
        <v>234</v>
      </c>
      <c r="J20">
        <f>IF(H20="clockwise",1,IF(H20="counterclockwise",-1,IF(MOD(G20-MOD($AC$1,360),360)&gt;MOD(MOD($AC$1,360)-G20,360),-1,1)))*SUMIF(abaqus!A:A,CONCATENATE("=",ABS(F20)),abaqus!B:B)</f>
        <v>7.0685835749999999</v>
      </c>
      <c r="K20">
        <f t="shared" si="1"/>
        <v>-7.0685835749999999</v>
      </c>
      <c r="L20">
        <f>IF(D20="F",J20,0)</f>
        <v>0</v>
      </c>
      <c r="M20">
        <f>IF(D20="D",J20,0)</f>
        <v>0</v>
      </c>
      <c r="N20">
        <f>(K20+L20)*0.5*5.6/2</f>
        <v>-9.8960170049999991</v>
      </c>
      <c r="O20">
        <f>(K20-L20)/3.97/2*5.6/2</f>
        <v>-2.4926994974811079</v>
      </c>
      <c r="P20">
        <v>-82.518891687658481</v>
      </c>
      <c r="Q20">
        <v>-3.9362079533552592</v>
      </c>
      <c r="R20">
        <v>3.4531090260466444</v>
      </c>
      <c r="S20">
        <f t="shared" si="2"/>
        <v>1255</v>
      </c>
      <c r="T20">
        <f t="shared" si="3"/>
        <v>0</v>
      </c>
      <c r="U20">
        <f t="shared" si="4"/>
        <v>0</v>
      </c>
    </row>
    <row r="21" spans="1:21" x14ac:dyDescent="0.55000000000000004">
      <c r="A21">
        <v>0</v>
      </c>
      <c r="B21">
        <v>0</v>
      </c>
      <c r="C21">
        <v>0</v>
      </c>
      <c r="D21" t="s">
        <v>0</v>
      </c>
      <c r="E21">
        <f t="shared" si="7"/>
        <v>0.31111111111111106</v>
      </c>
      <c r="F21">
        <v>50</v>
      </c>
      <c r="G21">
        <v>175</v>
      </c>
      <c r="H21" t="s">
        <v>33</v>
      </c>
      <c r="I21">
        <f>IF(H21="clockwise",MOD(G21-MOD($AC$1,360),360),0)+IF(H21="counterclockwise",MOD(MOD($AC$1,360)-G21,360),0)+IF(H21="shortest path",MIN(MOD(G21-MOD($AC$1,360),360),MOD(MOD($AC$1,360)-G21,360)))</f>
        <v>126</v>
      </c>
      <c r="J21">
        <f>IF(H21="clockwise",1,IF(H21="counterclockwise",-1,IF(MOD(G21-MOD($AC$1,360),360)&gt;MOD(MOD($AC$1,360)-G21,360),-1,1)))*SUMIF(abaqus!A:A,CONCATENATE("=",ABS(F21)),abaqus!B:B)</f>
        <v>-7.0685835749999999</v>
      </c>
      <c r="K21">
        <f t="shared" si="1"/>
        <v>7.0685835749999999</v>
      </c>
      <c r="L21">
        <f>IF(D21="F",J21,0)</f>
        <v>0</v>
      </c>
      <c r="M21">
        <f>IF(D21="D",J21,0)</f>
        <v>0</v>
      </c>
      <c r="N21">
        <f>(K21+L21)*0.5*5.6/2</f>
        <v>9.8960170049999991</v>
      </c>
      <c r="O21">
        <f>(K21-L21)/3.97/2*5.6/2</f>
        <v>2.4926994974811079</v>
      </c>
      <c r="P21">
        <v>44.433249370277593</v>
      </c>
      <c r="Q21">
        <v>2.7793093398273996</v>
      </c>
      <c r="R21">
        <v>1.1351558445047649</v>
      </c>
      <c r="S21">
        <f t="shared" si="2"/>
        <v>895</v>
      </c>
      <c r="T21">
        <f t="shared" si="3"/>
        <v>0</v>
      </c>
      <c r="U21">
        <f t="shared" si="4"/>
        <v>0</v>
      </c>
    </row>
    <row r="22" spans="1:21" x14ac:dyDescent="0.55000000000000004">
      <c r="A22">
        <v>0</v>
      </c>
      <c r="B22">
        <v>0</v>
      </c>
      <c r="C22">
        <v>0</v>
      </c>
      <c r="D22" t="s">
        <v>0</v>
      </c>
      <c r="E22">
        <f t="shared" si="7"/>
        <v>0.31111111111111106</v>
      </c>
      <c r="F22">
        <v>50</v>
      </c>
      <c r="G22">
        <v>175</v>
      </c>
      <c r="H22" t="s">
        <v>34</v>
      </c>
      <c r="I22">
        <f>IF(H22="clockwise",MOD(G22-MOD($AC$1,360),360),0)+IF(H22="counterclockwise",MOD(MOD($AC$1,360)-G22,360),0)+IF(H22="shortest path",MIN(MOD(G22-MOD($AC$1,360),360),MOD(MOD($AC$1,360)-G22,360)))</f>
        <v>126</v>
      </c>
      <c r="J22">
        <f>IF(H22="clockwise",1,IF(H22="counterclockwise",-1,IF(MOD(G22-MOD($AC$1,360),360)&gt;MOD(MOD($AC$1,360)-G22,360),-1,1)))*SUMIF(abaqus!A:A,CONCATENATE("=",ABS(F22)),abaqus!B:B)</f>
        <v>-7.0685835749999999</v>
      </c>
      <c r="K22">
        <f t="shared" si="1"/>
        <v>7.0685835749999999</v>
      </c>
      <c r="L22">
        <f>IF(D22="F",J22,0)</f>
        <v>0</v>
      </c>
      <c r="M22">
        <f>IF(D22="D",J22,0)</f>
        <v>0</v>
      </c>
      <c r="N22">
        <f>(K22+L22)*0.5*5.6/2</f>
        <v>9.8960170049999991</v>
      </c>
      <c r="O22">
        <f>(K22-L22)/3.97/2*5.6/2</f>
        <v>2.4926994974811079</v>
      </c>
      <c r="P22">
        <v>44.433249370277593</v>
      </c>
      <c r="Q22">
        <v>2.7793093398273996</v>
      </c>
      <c r="R22">
        <v>1.1351558445047649</v>
      </c>
      <c r="S22">
        <f t="shared" si="2"/>
        <v>895</v>
      </c>
      <c r="T22">
        <f t="shared" si="3"/>
        <v>0</v>
      </c>
      <c r="U22">
        <f t="shared" si="4"/>
        <v>0</v>
      </c>
    </row>
    <row r="23" spans="1:21" x14ac:dyDescent="0.55000000000000004">
      <c r="A23">
        <v>0</v>
      </c>
      <c r="B23">
        <v>0</v>
      </c>
      <c r="C23">
        <v>0</v>
      </c>
      <c r="D23" t="s">
        <v>4</v>
      </c>
      <c r="E23">
        <f>ABS(I23/180*3.1415927/J23)</f>
        <v>0.57777777777777783</v>
      </c>
      <c r="F23">
        <v>50</v>
      </c>
      <c r="G23">
        <v>175</v>
      </c>
      <c r="H23" t="s">
        <v>24</v>
      </c>
      <c r="I23">
        <f>IF(H23="clockwise",MOD(G23-MOD($AC$1,360),360),0)+IF(H23="counterclockwise",MOD(MOD($AC$1,360)-G23,360),0)+IF(H23="shortest path",MIN(MOD(G23-MOD($AC$1,360),360),MOD(MOD($AC$1,360)-G23,360)))</f>
        <v>234</v>
      </c>
      <c r="J23">
        <f>IF(H23="clockwise",1,IF(H23="counterclockwise",-1,IF(MOD(G23-MOD($AC$1,360),360)&gt;MOD(MOD($AC$1,360)-G23,360),-1,1)))*SUMIF(abaqus!A:A,CONCATENATE("=",ABS(F23)),abaqus!B:B)</f>
        <v>7.0685835749999999</v>
      </c>
      <c r="K23">
        <f t="shared" si="1"/>
        <v>0</v>
      </c>
      <c r="L23">
        <f>IF(D23="F",J23,0)</f>
        <v>7.0685835749999999</v>
      </c>
      <c r="M23">
        <f>IF(D23="D",J23,0)</f>
        <v>0</v>
      </c>
      <c r="N23">
        <f>(K23+L23)*0.5*5.6/2</f>
        <v>9.8960170049999991</v>
      </c>
      <c r="O23">
        <f>(K23-L23)/3.97/2*5.6/2</f>
        <v>-2.4926994974811079</v>
      </c>
      <c r="P23">
        <v>-82.518891687658481</v>
      </c>
      <c r="Q23">
        <v>3.9362079533552592</v>
      </c>
      <c r="R23">
        <v>-3.4531090260466444</v>
      </c>
      <c r="S23">
        <f t="shared" si="2"/>
        <v>0</v>
      </c>
      <c r="T23">
        <f t="shared" si="3"/>
        <v>1255</v>
      </c>
      <c r="U23">
        <f t="shared" si="4"/>
        <v>0</v>
      </c>
    </row>
    <row r="24" spans="1:21" x14ac:dyDescent="0.55000000000000004">
      <c r="A24">
        <v>0</v>
      </c>
      <c r="B24">
        <v>0</v>
      </c>
      <c r="C24">
        <v>0</v>
      </c>
      <c r="D24" t="s">
        <v>4</v>
      </c>
      <c r="E24">
        <f t="shared" ref="E24:E28" si="8">ABS(I24/180*3.1415927/J24)</f>
        <v>0.31111111111111106</v>
      </c>
      <c r="F24">
        <v>50</v>
      </c>
      <c r="G24">
        <v>175</v>
      </c>
      <c r="H24" t="s">
        <v>33</v>
      </c>
      <c r="I24">
        <f>IF(H24="clockwise",MOD(G24-MOD($AC$1,360),360),0)+IF(H24="counterclockwise",MOD(MOD($AC$1,360)-G24,360),0)+IF(H24="shortest path",MIN(MOD(G24-MOD($AC$1,360),360),MOD(MOD($AC$1,360)-G24,360)))</f>
        <v>126</v>
      </c>
      <c r="J24">
        <f>IF(H24="clockwise",1,IF(H24="counterclockwise",-1,IF(MOD(G24-MOD($AC$1,360),360)&gt;MOD(MOD($AC$1,360)-G24,360),-1,1)))*SUMIF(abaqus!A:A,CONCATENATE("=",ABS(F24)),abaqus!B:B)</f>
        <v>-7.0685835749999999</v>
      </c>
      <c r="K24">
        <f t="shared" si="1"/>
        <v>0</v>
      </c>
      <c r="L24">
        <f>IF(D24="F",J24,0)</f>
        <v>-7.0685835749999999</v>
      </c>
      <c r="M24">
        <f>IF(D24="D",J24,0)</f>
        <v>0</v>
      </c>
      <c r="N24">
        <f>(K24+L24)*0.5*5.6/2</f>
        <v>-9.8960170049999991</v>
      </c>
      <c r="O24">
        <f>(K24-L24)/3.97/2*5.6/2</f>
        <v>2.4926994974811079</v>
      </c>
      <c r="P24">
        <v>44.433249370277593</v>
      </c>
      <c r="Q24">
        <v>-2.7793093398273996</v>
      </c>
      <c r="R24">
        <v>-1.1351558445047649</v>
      </c>
      <c r="S24">
        <f t="shared" si="2"/>
        <v>0</v>
      </c>
      <c r="T24">
        <f t="shared" si="3"/>
        <v>895</v>
      </c>
      <c r="U24">
        <f t="shared" si="4"/>
        <v>0</v>
      </c>
    </row>
    <row r="25" spans="1:21" x14ac:dyDescent="0.55000000000000004">
      <c r="A25">
        <v>0</v>
      </c>
      <c r="B25">
        <v>0</v>
      </c>
      <c r="C25">
        <v>0</v>
      </c>
      <c r="D25" t="s">
        <v>4</v>
      </c>
      <c r="E25">
        <f t="shared" si="8"/>
        <v>0.31111111111111106</v>
      </c>
      <c r="F25">
        <v>50</v>
      </c>
      <c r="G25">
        <v>175</v>
      </c>
      <c r="H25" t="s">
        <v>34</v>
      </c>
      <c r="I25">
        <f>IF(H25="clockwise",MOD(G25-MOD($AC$1,360),360),0)+IF(H25="counterclockwise",MOD(MOD($AC$1,360)-G25,360),0)+IF(H25="shortest path",MIN(MOD(G25-MOD($AC$1,360),360),MOD(MOD($AC$1,360)-G25,360)))</f>
        <v>126</v>
      </c>
      <c r="J25">
        <f>IF(H25="clockwise",1,IF(H25="counterclockwise",-1,IF(MOD(G25-MOD($AC$1,360),360)&gt;MOD(MOD($AC$1,360)-G25,360),-1,1)))*SUMIF(abaqus!A:A,CONCATENATE("=",ABS(F25)),abaqus!B:B)</f>
        <v>-7.0685835749999999</v>
      </c>
      <c r="K25">
        <f t="shared" si="1"/>
        <v>0</v>
      </c>
      <c r="L25">
        <f>IF(D25="F",J25,0)</f>
        <v>-7.0685835749999999</v>
      </c>
      <c r="M25">
        <f>IF(D25="D",J25,0)</f>
        <v>0</v>
      </c>
      <c r="N25">
        <f>(K25+L25)*0.5*5.6/2</f>
        <v>-9.8960170049999991</v>
      </c>
      <c r="O25">
        <f>(K25-L25)/3.97/2*5.6/2</f>
        <v>2.4926994974811079</v>
      </c>
      <c r="P25">
        <v>44.433249370277593</v>
      </c>
      <c r="Q25">
        <v>-2.7793093398273996</v>
      </c>
      <c r="R25">
        <v>-1.1351558445047649</v>
      </c>
      <c r="S25">
        <f t="shared" si="2"/>
        <v>0</v>
      </c>
      <c r="T25">
        <f t="shared" si="3"/>
        <v>895</v>
      </c>
      <c r="U25">
        <f t="shared" si="4"/>
        <v>0</v>
      </c>
    </row>
    <row r="26" spans="1:21" x14ac:dyDescent="0.55000000000000004">
      <c r="A26">
        <v>0</v>
      </c>
      <c r="B26">
        <v>0</v>
      </c>
      <c r="C26">
        <v>0</v>
      </c>
      <c r="D26" t="s">
        <v>18</v>
      </c>
      <c r="E26">
        <f t="shared" si="8"/>
        <v>0.57777777777777783</v>
      </c>
      <c r="F26">
        <v>50</v>
      </c>
      <c r="G26">
        <v>175</v>
      </c>
      <c r="H26" t="s">
        <v>24</v>
      </c>
      <c r="I26">
        <f>IF(H26="clockwise",MOD(G26-MOD($AC$1,360),360),0)+IF(H26="counterclockwise",MOD(MOD($AC$1,360)-G26,360),0)+IF(H26="shortest path",MIN(MOD(G26-MOD($AC$1,360),360),MOD(MOD($AC$1,360)-G26,360)))</f>
        <v>234</v>
      </c>
      <c r="J26">
        <f>IF(H26="clockwise",1,IF(H26="counterclockwise",-1,IF(MOD(G26-MOD($AC$1,360),360)&gt;MOD(MOD($AC$1,360)-G26,360),-1,1)))*SUMIF(abaqus!A:A,CONCATENATE("=",ABS(F26)),abaqus!B:B)</f>
        <v>7.0685835749999999</v>
      </c>
      <c r="K26">
        <f t="shared" si="1"/>
        <v>0</v>
      </c>
      <c r="L26">
        <f>IF(D26="F",J26,0)</f>
        <v>0</v>
      </c>
      <c r="M26">
        <f>IF(D26="D",J26,0)</f>
        <v>7.0685835749999999</v>
      </c>
      <c r="N26">
        <f>(K26+L26)*0.5*5.6/2</f>
        <v>0</v>
      </c>
      <c r="O26">
        <f>(K26-L26)/3.97/2*5.6/2</f>
        <v>0</v>
      </c>
      <c r="P26">
        <v>0</v>
      </c>
      <c r="Q26">
        <v>0</v>
      </c>
      <c r="R26">
        <v>0</v>
      </c>
      <c r="S26">
        <f t="shared" si="2"/>
        <v>0</v>
      </c>
      <c r="T26">
        <f t="shared" si="3"/>
        <v>0</v>
      </c>
      <c r="U26">
        <f t="shared" si="4"/>
        <v>1255</v>
      </c>
    </row>
    <row r="27" spans="1:21" x14ac:dyDescent="0.55000000000000004">
      <c r="A27">
        <v>0</v>
      </c>
      <c r="B27">
        <v>0</v>
      </c>
      <c r="C27">
        <v>0</v>
      </c>
      <c r="D27" t="s">
        <v>18</v>
      </c>
      <c r="E27">
        <f>ABS(I27/180*3.1415927/J27)</f>
        <v>0.31111111111111106</v>
      </c>
      <c r="F27">
        <v>50</v>
      </c>
      <c r="G27">
        <v>175</v>
      </c>
      <c r="H27" t="s">
        <v>33</v>
      </c>
      <c r="I27">
        <f>IF(H27="clockwise",MOD(G27-MOD($AC$1,360),360),0)+IF(H27="counterclockwise",MOD(MOD($AC$1,360)-G27,360),0)+IF(H27="shortest path",MIN(MOD(G27-MOD($AC$1,360),360),MOD(MOD($AC$1,360)-G27,360)))</f>
        <v>126</v>
      </c>
      <c r="J27">
        <f>IF(H27="clockwise",1,IF(H27="counterclockwise",-1,IF(MOD(G27-MOD($AC$1,360),360)&gt;MOD(MOD($AC$1,360)-G27,360),-1,1)))*SUMIF(abaqus!A:A,CONCATENATE("=",ABS(F27)),abaqus!B:B)</f>
        <v>-7.0685835749999999</v>
      </c>
      <c r="K27">
        <f t="shared" si="1"/>
        <v>0</v>
      </c>
      <c r="L27">
        <f>IF(D27="F",J27,0)</f>
        <v>0</v>
      </c>
      <c r="M27">
        <f>IF(D27="D",J27,0)</f>
        <v>-7.0685835749999999</v>
      </c>
      <c r="N27">
        <f>(K27+L27)*0.5*5.6/2</f>
        <v>0</v>
      </c>
      <c r="O27">
        <f>(K27-L27)/3.97/2*5.6/2</f>
        <v>0</v>
      </c>
      <c r="P27">
        <v>0</v>
      </c>
      <c r="Q27">
        <v>0</v>
      </c>
      <c r="R27">
        <v>0</v>
      </c>
      <c r="S27">
        <f t="shared" si="2"/>
        <v>0</v>
      </c>
      <c r="T27">
        <f t="shared" si="3"/>
        <v>0</v>
      </c>
      <c r="U27">
        <f t="shared" si="4"/>
        <v>895</v>
      </c>
    </row>
    <row r="28" spans="1:21" x14ac:dyDescent="0.55000000000000004">
      <c r="A28">
        <v>0</v>
      </c>
      <c r="B28">
        <v>0</v>
      </c>
      <c r="C28">
        <v>0</v>
      </c>
      <c r="D28" t="s">
        <v>18</v>
      </c>
      <c r="E28">
        <f t="shared" ref="E28:E31" si="9">ABS(I28/180*3.1415927/J28)</f>
        <v>0.31111111111111106</v>
      </c>
      <c r="F28">
        <v>50</v>
      </c>
      <c r="G28">
        <v>175</v>
      </c>
      <c r="H28" t="s">
        <v>34</v>
      </c>
      <c r="I28">
        <f>IF(H28="clockwise",MOD(G28-MOD($AC$1,360),360),0)+IF(H28="counterclockwise",MOD(MOD($AC$1,360)-G28,360),0)+IF(H28="shortest path",MIN(MOD(G28-MOD($AC$1,360),360),MOD(MOD($AC$1,360)-G28,360)))</f>
        <v>126</v>
      </c>
      <c r="J28">
        <f>IF(H28="clockwise",1,IF(H28="counterclockwise",-1,IF(MOD(G28-MOD($AC$1,360),360)&gt;MOD(MOD($AC$1,360)-G28,360),-1,1)))*SUMIF(abaqus!A:A,CONCATENATE("=",ABS(F28)),abaqus!B:B)</f>
        <v>-7.0685835749999999</v>
      </c>
      <c r="K28">
        <f t="shared" si="1"/>
        <v>0</v>
      </c>
      <c r="L28">
        <f>IF(D28="F",J28,0)</f>
        <v>0</v>
      </c>
      <c r="M28">
        <f>IF(D28="D",J28,0)</f>
        <v>-7.0685835749999999</v>
      </c>
      <c r="N28">
        <f>(K28+L28)*0.5*5.6/2</f>
        <v>0</v>
      </c>
      <c r="O28">
        <f>(K28-L28)/3.97/2*5.6/2</f>
        <v>0</v>
      </c>
      <c r="P28">
        <v>0</v>
      </c>
      <c r="Q28">
        <v>0</v>
      </c>
      <c r="R28">
        <v>0</v>
      </c>
      <c r="S28">
        <f t="shared" si="2"/>
        <v>0</v>
      </c>
      <c r="T28">
        <f t="shared" si="3"/>
        <v>0</v>
      </c>
      <c r="U28">
        <f t="shared" si="4"/>
        <v>895</v>
      </c>
    </row>
    <row r="29" spans="1:21" x14ac:dyDescent="0.55000000000000004">
      <c r="A29">
        <v>0</v>
      </c>
      <c r="B29">
        <v>0</v>
      </c>
      <c r="C29">
        <v>0</v>
      </c>
      <c r="D29" t="s">
        <v>0</v>
      </c>
      <c r="E29">
        <f t="shared" si="9"/>
        <v>0.36790123456790119</v>
      </c>
      <c r="F29">
        <v>-50</v>
      </c>
      <c r="G29">
        <v>90</v>
      </c>
      <c r="H29" t="s">
        <v>24</v>
      </c>
      <c r="I29">
        <f>IF(H29="clockwise",MOD(G29-MOD($AC$1,360),360),0)+IF(H29="counterclockwise",MOD(MOD($AC$1,360)-G29,360),0)+IF(H29="shortest path",MIN(MOD(G29-MOD($AC$1,360),360),MOD(MOD($AC$1,360)-G29,360)))</f>
        <v>149</v>
      </c>
      <c r="J29">
        <f>IF(H29="clockwise",1,IF(H29="counterclockwise",-1,IF(MOD(G29-MOD($AC$1,360),360)&gt;MOD(MOD($AC$1,360)-G29,360),-1,1)))*SUMIF(abaqus!A:A,CONCATENATE("=",ABS(F29)),abaqus!B:B)</f>
        <v>7.0685835749999999</v>
      </c>
      <c r="K29">
        <f t="shared" si="1"/>
        <v>-7.0685835749999999</v>
      </c>
      <c r="L29">
        <f>IF(D29="F",J29,0)</f>
        <v>0</v>
      </c>
      <c r="M29">
        <f>IF(D29="D",J29,0)</f>
        <v>0</v>
      </c>
      <c r="N29">
        <f>(K29+L29)*0.5*5.6/2</f>
        <v>-9.8960170049999991</v>
      </c>
      <c r="O29">
        <f>(K29-L29)/3.97/2*5.6/2</f>
        <v>-2.4926994974811079</v>
      </c>
      <c r="P29">
        <v>-52.544080604534848</v>
      </c>
      <c r="Q29">
        <v>-3.1514729965738786</v>
      </c>
      <c r="R29">
        <v>1.5556399363011013</v>
      </c>
      <c r="S29">
        <f t="shared" si="2"/>
        <v>1170</v>
      </c>
      <c r="T29">
        <f t="shared" si="3"/>
        <v>0</v>
      </c>
      <c r="U29">
        <f t="shared" si="4"/>
        <v>0</v>
      </c>
    </row>
    <row r="30" spans="1:21" x14ac:dyDescent="0.55000000000000004">
      <c r="A30">
        <v>0</v>
      </c>
      <c r="B30">
        <v>0</v>
      </c>
      <c r="C30">
        <v>0</v>
      </c>
      <c r="D30" t="s">
        <v>0</v>
      </c>
      <c r="E30">
        <f t="shared" si="9"/>
        <v>0.5209876543209877</v>
      </c>
      <c r="F30">
        <v>-50</v>
      </c>
      <c r="G30">
        <v>90</v>
      </c>
      <c r="H30" t="s">
        <v>33</v>
      </c>
      <c r="I30">
        <f>IF(H30="clockwise",MOD(G30-MOD($AC$1,360),360),0)+IF(H30="counterclockwise",MOD(MOD($AC$1,360)-G30,360),0)+IF(H30="shortest path",MIN(MOD(G30-MOD($AC$1,360),360),MOD(MOD($AC$1,360)-G30,360)))</f>
        <v>211</v>
      </c>
      <c r="J30">
        <f>IF(H30="clockwise",1,IF(H30="counterclockwise",-1,IF(MOD(G30-MOD($AC$1,360),360)&gt;MOD(MOD($AC$1,360)-G30,360),-1,1)))*SUMIF(abaqus!A:A,CONCATENATE("=",ABS(F30)),abaqus!B:B)</f>
        <v>-7.0685835749999999</v>
      </c>
      <c r="K30">
        <f t="shared" si="1"/>
        <v>7.0685835749999999</v>
      </c>
      <c r="L30">
        <f>IF(D30="F",J30,0)</f>
        <v>0</v>
      </c>
      <c r="M30">
        <f>IF(D30="D",J30,0)</f>
        <v>0</v>
      </c>
      <c r="N30">
        <f>(K30+L30)*0.5*5.6/2</f>
        <v>9.8960170049999991</v>
      </c>
      <c r="O30">
        <f>(K30-L30)/3.97/2*5.6/2</f>
        <v>2.4926994974811079</v>
      </c>
      <c r="P30">
        <v>74.408060453401049</v>
      </c>
      <c r="Q30">
        <v>3.8239086379049185</v>
      </c>
      <c r="R30">
        <v>2.9029257244720625</v>
      </c>
      <c r="S30">
        <f t="shared" si="2"/>
        <v>810</v>
      </c>
      <c r="T30">
        <f t="shared" si="3"/>
        <v>0</v>
      </c>
      <c r="U30">
        <f t="shared" si="4"/>
        <v>0</v>
      </c>
    </row>
    <row r="31" spans="1:21" x14ac:dyDescent="0.55000000000000004">
      <c r="A31">
        <v>0</v>
      </c>
      <c r="B31">
        <v>0</v>
      </c>
      <c r="C31">
        <v>0</v>
      </c>
      <c r="D31" t="s">
        <v>0</v>
      </c>
      <c r="E31">
        <f t="shared" si="9"/>
        <v>0.36790123456790119</v>
      </c>
      <c r="F31">
        <v>-50</v>
      </c>
      <c r="G31">
        <v>90</v>
      </c>
      <c r="H31" t="s">
        <v>34</v>
      </c>
      <c r="I31">
        <f>IF(H31="clockwise",MOD(G31-MOD($AC$1,360),360),0)+IF(H31="counterclockwise",MOD(MOD($AC$1,360)-G31,360),0)+IF(H31="shortest path",MIN(MOD(G31-MOD($AC$1,360),360),MOD(MOD($AC$1,360)-G31,360)))</f>
        <v>149</v>
      </c>
      <c r="J31">
        <f>IF(H31="clockwise",1,IF(H31="counterclockwise",-1,IF(MOD(G31-MOD($AC$1,360),360)&gt;MOD(MOD($AC$1,360)-G31,360),-1,1)))*SUMIF(abaqus!A:A,CONCATENATE("=",ABS(F31)),abaqus!B:B)</f>
        <v>7.0685835749999999</v>
      </c>
      <c r="K31">
        <f t="shared" si="1"/>
        <v>-7.0685835749999999</v>
      </c>
      <c r="L31">
        <f>IF(D31="F",J31,0)</f>
        <v>0</v>
      </c>
      <c r="M31">
        <f>IF(D31="D",J31,0)</f>
        <v>0</v>
      </c>
      <c r="N31">
        <f>(K31+L31)*0.5*5.6/2</f>
        <v>-9.8960170049999991</v>
      </c>
      <c r="O31">
        <f>(K31-L31)/3.97/2*5.6/2</f>
        <v>-2.4926994974811079</v>
      </c>
      <c r="P31">
        <v>-52.544080604534848</v>
      </c>
      <c r="Q31">
        <v>-3.1514729965738786</v>
      </c>
      <c r="R31">
        <v>1.5556399363011013</v>
      </c>
      <c r="S31">
        <f t="shared" si="2"/>
        <v>1170</v>
      </c>
      <c r="T31">
        <f t="shared" si="3"/>
        <v>0</v>
      </c>
      <c r="U31">
        <f t="shared" si="4"/>
        <v>0</v>
      </c>
    </row>
    <row r="32" spans="1:21" x14ac:dyDescent="0.55000000000000004">
      <c r="A32">
        <v>0</v>
      </c>
      <c r="B32">
        <v>0</v>
      </c>
      <c r="C32">
        <v>0</v>
      </c>
      <c r="D32" t="s">
        <v>4</v>
      </c>
      <c r="E32">
        <f>ABS(I32/180*3.1415927/J32)</f>
        <v>0.36790123456790119</v>
      </c>
      <c r="F32">
        <v>-50</v>
      </c>
      <c r="G32">
        <v>90</v>
      </c>
      <c r="H32" t="s">
        <v>24</v>
      </c>
      <c r="I32">
        <f>IF(H32="clockwise",MOD(G32-MOD($AC$1,360),360),0)+IF(H32="counterclockwise",MOD(MOD($AC$1,360)-G32,360),0)+IF(H32="shortest path",MIN(MOD(G32-MOD($AC$1,360),360),MOD(MOD($AC$1,360)-G32,360)))</f>
        <v>149</v>
      </c>
      <c r="J32">
        <f>IF(H32="clockwise",1,IF(H32="counterclockwise",-1,IF(MOD(G32-MOD($AC$1,360),360)&gt;MOD(MOD($AC$1,360)-G32,360),-1,1)))*SUMIF(abaqus!A:A,CONCATENATE("=",ABS(F32)),abaqus!B:B)</f>
        <v>7.0685835749999999</v>
      </c>
      <c r="K32">
        <f t="shared" si="1"/>
        <v>0</v>
      </c>
      <c r="L32">
        <f>IF(D32="F",J32,0)</f>
        <v>7.0685835749999999</v>
      </c>
      <c r="M32">
        <f>IF(D32="D",J32,0)</f>
        <v>0</v>
      </c>
      <c r="N32">
        <f>(K32+L32)*0.5*5.6/2</f>
        <v>9.8960170049999991</v>
      </c>
      <c r="O32">
        <f>(K32-L32)/3.97/2*5.6/2</f>
        <v>-2.4926994974811079</v>
      </c>
      <c r="P32">
        <v>-52.544080604534848</v>
      </c>
      <c r="Q32">
        <v>3.1514729965738786</v>
      </c>
      <c r="R32">
        <v>-1.5556399363011013</v>
      </c>
      <c r="S32">
        <f t="shared" si="2"/>
        <v>0</v>
      </c>
      <c r="T32">
        <f t="shared" si="3"/>
        <v>1170</v>
      </c>
      <c r="U32">
        <f t="shared" si="4"/>
        <v>0</v>
      </c>
    </row>
    <row r="33" spans="1:21" x14ac:dyDescent="0.55000000000000004">
      <c r="A33">
        <v>0</v>
      </c>
      <c r="B33">
        <v>0</v>
      </c>
      <c r="C33">
        <v>0</v>
      </c>
      <c r="D33" t="s">
        <v>4</v>
      </c>
      <c r="E33">
        <f t="shared" ref="E33:E37" si="10">ABS(I33/180*3.1415927/J33)</f>
        <v>0.5209876543209877</v>
      </c>
      <c r="F33">
        <v>-50</v>
      </c>
      <c r="G33">
        <v>90</v>
      </c>
      <c r="H33" t="s">
        <v>33</v>
      </c>
      <c r="I33">
        <f>IF(H33="clockwise",MOD(G33-MOD($AC$1,360),360),0)+IF(H33="counterclockwise",MOD(MOD($AC$1,360)-G33,360),0)+IF(H33="shortest path",MIN(MOD(G33-MOD($AC$1,360),360),MOD(MOD($AC$1,360)-G33,360)))</f>
        <v>211</v>
      </c>
      <c r="J33">
        <f>IF(H33="clockwise",1,IF(H33="counterclockwise",-1,IF(MOD(G33-MOD($AC$1,360),360)&gt;MOD(MOD($AC$1,360)-G33,360),-1,1)))*SUMIF(abaqus!A:A,CONCATENATE("=",ABS(F33)),abaqus!B:B)</f>
        <v>-7.0685835749999999</v>
      </c>
      <c r="K33">
        <f t="shared" si="1"/>
        <v>0</v>
      </c>
      <c r="L33">
        <f>IF(D33="F",J33,0)</f>
        <v>-7.0685835749999999</v>
      </c>
      <c r="M33">
        <f>IF(D33="D",J33,0)</f>
        <v>0</v>
      </c>
      <c r="N33">
        <f>(K33+L33)*0.5*5.6/2</f>
        <v>-9.8960170049999991</v>
      </c>
      <c r="O33">
        <f>(K33-L33)/3.97/2*5.6/2</f>
        <v>2.4926994974811079</v>
      </c>
      <c r="P33">
        <v>74.408060453401049</v>
      </c>
      <c r="Q33">
        <v>-3.8239086379049185</v>
      </c>
      <c r="R33">
        <v>-2.9029257244720625</v>
      </c>
      <c r="S33">
        <f t="shared" si="2"/>
        <v>0</v>
      </c>
      <c r="T33">
        <f t="shared" si="3"/>
        <v>810</v>
      </c>
      <c r="U33">
        <f t="shared" si="4"/>
        <v>0</v>
      </c>
    </row>
    <row r="34" spans="1:21" x14ac:dyDescent="0.55000000000000004">
      <c r="A34">
        <v>0</v>
      </c>
      <c r="B34">
        <v>0</v>
      </c>
      <c r="C34">
        <v>0</v>
      </c>
      <c r="D34" t="s">
        <v>4</v>
      </c>
      <c r="E34">
        <f t="shared" si="10"/>
        <v>0.36790123456790119</v>
      </c>
      <c r="F34">
        <v>-50</v>
      </c>
      <c r="G34">
        <v>90</v>
      </c>
      <c r="H34" t="s">
        <v>34</v>
      </c>
      <c r="I34">
        <f>IF(H34="clockwise",MOD(G34-MOD($AC$1,360),360),0)+IF(H34="counterclockwise",MOD(MOD($AC$1,360)-G34,360),0)+IF(H34="shortest path",MIN(MOD(G34-MOD($AC$1,360),360),MOD(MOD($AC$1,360)-G34,360)))</f>
        <v>149</v>
      </c>
      <c r="J34">
        <f>IF(H34="clockwise",1,IF(H34="counterclockwise",-1,IF(MOD(G34-MOD($AC$1,360),360)&gt;MOD(MOD($AC$1,360)-G34,360),-1,1)))*SUMIF(abaqus!A:A,CONCATENATE("=",ABS(F34)),abaqus!B:B)</f>
        <v>7.0685835749999999</v>
      </c>
      <c r="K34">
        <f t="shared" si="1"/>
        <v>0</v>
      </c>
      <c r="L34">
        <f>IF(D34="F",J34,0)</f>
        <v>7.0685835749999999</v>
      </c>
      <c r="M34">
        <f>IF(D34="D",J34,0)</f>
        <v>0</v>
      </c>
      <c r="N34">
        <f>(K34+L34)*0.5*5.6/2</f>
        <v>9.8960170049999991</v>
      </c>
      <c r="O34">
        <f>(K34-L34)/3.97/2*5.6/2</f>
        <v>-2.4926994974811079</v>
      </c>
      <c r="P34">
        <v>-52.544080604534848</v>
      </c>
      <c r="Q34">
        <v>3.1514729965738786</v>
      </c>
      <c r="R34">
        <v>-1.5556399363011013</v>
      </c>
      <c r="S34">
        <f t="shared" si="2"/>
        <v>0</v>
      </c>
      <c r="T34">
        <f t="shared" si="3"/>
        <v>1170</v>
      </c>
      <c r="U34">
        <f t="shared" si="4"/>
        <v>0</v>
      </c>
    </row>
    <row r="35" spans="1:21" x14ac:dyDescent="0.55000000000000004">
      <c r="A35">
        <v>0</v>
      </c>
      <c r="B35">
        <v>0</v>
      </c>
      <c r="C35">
        <v>0</v>
      </c>
      <c r="D35" t="s">
        <v>18</v>
      </c>
      <c r="E35">
        <f t="shared" si="10"/>
        <v>0.36790123456790119</v>
      </c>
      <c r="F35">
        <v>-50</v>
      </c>
      <c r="G35">
        <v>90</v>
      </c>
      <c r="H35" t="s">
        <v>24</v>
      </c>
      <c r="I35">
        <f>IF(H35="clockwise",MOD(G35-MOD($AC$1,360),360),0)+IF(H35="counterclockwise",MOD(MOD($AC$1,360)-G35,360),0)+IF(H35="shortest path",MIN(MOD(G35-MOD($AC$1,360),360),MOD(MOD($AC$1,360)-G35,360)))</f>
        <v>149</v>
      </c>
      <c r="J35">
        <f>IF(H35="clockwise",1,IF(H35="counterclockwise",-1,IF(MOD(G35-MOD($AC$1,360),360)&gt;MOD(MOD($AC$1,360)-G35,360),-1,1)))*SUMIF(abaqus!A:A,CONCATENATE("=",ABS(F35)),abaqus!B:B)</f>
        <v>7.0685835749999999</v>
      </c>
      <c r="K35">
        <f t="shared" si="1"/>
        <v>0</v>
      </c>
      <c r="L35">
        <f>IF(D35="F",J35,0)</f>
        <v>0</v>
      </c>
      <c r="M35">
        <f>IF(D35="D",J35,0)</f>
        <v>7.0685835749999999</v>
      </c>
      <c r="N35">
        <f>(K35+L35)*0.5*5.6/2</f>
        <v>0</v>
      </c>
      <c r="O35">
        <f>(K35-L35)/3.97/2*5.6/2</f>
        <v>0</v>
      </c>
      <c r="P35">
        <v>0</v>
      </c>
      <c r="Q35">
        <v>0</v>
      </c>
      <c r="R35">
        <v>0</v>
      </c>
      <c r="S35">
        <f t="shared" si="2"/>
        <v>0</v>
      </c>
      <c r="T35">
        <f t="shared" si="3"/>
        <v>0</v>
      </c>
      <c r="U35">
        <f t="shared" si="4"/>
        <v>1170</v>
      </c>
    </row>
    <row r="36" spans="1:21" x14ac:dyDescent="0.55000000000000004">
      <c r="A36">
        <v>0</v>
      </c>
      <c r="B36">
        <v>0</v>
      </c>
      <c r="C36">
        <v>0</v>
      </c>
      <c r="D36" t="s">
        <v>18</v>
      </c>
      <c r="E36">
        <f>ABS(I36/180*3.1415927/J36)</f>
        <v>0.5209876543209877</v>
      </c>
      <c r="F36">
        <v>-50</v>
      </c>
      <c r="G36">
        <v>90</v>
      </c>
      <c r="H36" t="s">
        <v>33</v>
      </c>
      <c r="I36">
        <f>IF(H36="clockwise",MOD(G36-MOD($AC$1,360),360),0)+IF(H36="counterclockwise",MOD(MOD($AC$1,360)-G36,360),0)+IF(H36="shortest path",MIN(MOD(G36-MOD($AC$1,360),360),MOD(MOD($AC$1,360)-G36,360)))</f>
        <v>211</v>
      </c>
      <c r="J36">
        <f>IF(H36="clockwise",1,IF(H36="counterclockwise",-1,IF(MOD(G36-MOD($AC$1,360),360)&gt;MOD(MOD($AC$1,360)-G36,360),-1,1)))*SUMIF(abaqus!A:A,CONCATENATE("=",ABS(F36)),abaqus!B:B)</f>
        <v>-7.0685835749999999</v>
      </c>
      <c r="K36">
        <f t="shared" si="1"/>
        <v>0</v>
      </c>
      <c r="L36">
        <f>IF(D36="F",J36,0)</f>
        <v>0</v>
      </c>
      <c r="M36">
        <f>IF(D36="D",J36,0)</f>
        <v>-7.0685835749999999</v>
      </c>
      <c r="N36">
        <f>(K36+L36)*0.5*5.6/2</f>
        <v>0</v>
      </c>
      <c r="O36">
        <f>(K36-L36)/3.97/2*5.6/2</f>
        <v>0</v>
      </c>
      <c r="P36">
        <v>0</v>
      </c>
      <c r="Q36">
        <v>0</v>
      </c>
      <c r="R36">
        <v>0</v>
      </c>
      <c r="S36">
        <f t="shared" si="2"/>
        <v>0</v>
      </c>
      <c r="T36">
        <f t="shared" si="3"/>
        <v>0</v>
      </c>
      <c r="U36">
        <f t="shared" si="4"/>
        <v>810</v>
      </c>
    </row>
    <row r="37" spans="1:21" x14ac:dyDescent="0.55000000000000004">
      <c r="A37">
        <v>0</v>
      </c>
      <c r="B37">
        <v>0</v>
      </c>
      <c r="C37">
        <v>0</v>
      </c>
      <c r="D37" t="s">
        <v>18</v>
      </c>
      <c r="E37">
        <f t="shared" ref="E37" si="11">ABS(I37/180*3.1415927/J37)</f>
        <v>0.36790123456790119</v>
      </c>
      <c r="F37">
        <v>-50</v>
      </c>
      <c r="G37">
        <v>90</v>
      </c>
      <c r="H37" t="s">
        <v>34</v>
      </c>
      <c r="I37">
        <f>IF(H37="clockwise",MOD(G37-MOD($AC$1,360),360),0)+IF(H37="counterclockwise",MOD(MOD($AC$1,360)-G37,360),0)+IF(H37="shortest path",MIN(MOD(G37-MOD($AC$1,360),360),MOD(MOD($AC$1,360)-G37,360)))</f>
        <v>149</v>
      </c>
      <c r="J37">
        <f>IF(H37="clockwise",1,IF(H37="counterclockwise",-1,IF(MOD(G37-MOD($AC$1,360),360)&gt;MOD(MOD($AC$1,360)-G37,360),-1,1)))*SUMIF(abaqus!A:A,CONCATENATE("=",ABS(F37)),abaqus!B:B)</f>
        <v>7.0685835749999999</v>
      </c>
      <c r="K37">
        <f t="shared" si="1"/>
        <v>0</v>
      </c>
      <c r="L37">
        <f>IF(D37="F",J37,0)</f>
        <v>0</v>
      </c>
      <c r="M37">
        <f>IF(D37="D",J37,0)</f>
        <v>7.0685835749999999</v>
      </c>
      <c r="N37">
        <f>(K37+L37)*0.5*5.6/2</f>
        <v>0</v>
      </c>
      <c r="O37">
        <f>(K37-L37)/3.97/2*5.6/2</f>
        <v>0</v>
      </c>
      <c r="P37">
        <v>0</v>
      </c>
      <c r="Q37">
        <v>0</v>
      </c>
      <c r="R37">
        <v>0</v>
      </c>
      <c r="S37">
        <f t="shared" si="2"/>
        <v>0</v>
      </c>
      <c r="T37">
        <f t="shared" si="3"/>
        <v>0</v>
      </c>
      <c r="U37">
        <f t="shared" si="4"/>
        <v>1170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2D0E1-B832-41D6-9122-6FC66AC1D83D}">
  <sheetPr codeName="Sheet8"/>
  <dimension ref="A1:S37"/>
  <sheetViews>
    <sheetView topLeftCell="A4" zoomScale="83" zoomScaleNormal="83" workbookViewId="0">
      <selection activeCell="F2" sqref="F2:F37"/>
    </sheetView>
  </sheetViews>
  <sheetFormatPr defaultRowHeight="14.4" x14ac:dyDescent="0.55000000000000004"/>
  <cols>
    <col min="5" max="5" width="11.578125" bestFit="1" customWidth="1"/>
    <col min="10" max="14" width="10.734375" customWidth="1"/>
    <col min="17" max="17" width="10.7890625" customWidth="1"/>
  </cols>
  <sheetData>
    <row r="1" spans="1:19" x14ac:dyDescent="0.55000000000000004">
      <c r="A1" t="s">
        <v>1</v>
      </c>
      <c r="B1" t="s">
        <v>2</v>
      </c>
      <c r="C1" t="s">
        <v>3</v>
      </c>
      <c r="D1" t="s">
        <v>22</v>
      </c>
      <c r="E1" t="s">
        <v>12</v>
      </c>
      <c r="F1" t="s">
        <v>11</v>
      </c>
      <c r="G1" t="s">
        <v>23</v>
      </c>
      <c r="H1" t="s">
        <v>28</v>
      </c>
      <c r="I1" t="s">
        <v>29</v>
      </c>
      <c r="J1" t="s">
        <v>30</v>
      </c>
      <c r="K1" t="s">
        <v>31</v>
      </c>
      <c r="L1" t="s">
        <v>14</v>
      </c>
      <c r="M1" t="s">
        <v>15</v>
      </c>
      <c r="N1" t="s">
        <v>10</v>
      </c>
      <c r="O1" t="s">
        <v>8</v>
      </c>
      <c r="P1" t="s">
        <v>9</v>
      </c>
      <c r="Q1" t="s">
        <v>25</v>
      </c>
      <c r="R1" t="s">
        <v>26</v>
      </c>
      <c r="S1" t="s">
        <v>27</v>
      </c>
    </row>
    <row r="2" spans="1:19" x14ac:dyDescent="0.55000000000000004">
      <c r="A2">
        <v>0</v>
      </c>
      <c r="B2">
        <v>0</v>
      </c>
      <c r="C2">
        <v>0</v>
      </c>
      <c r="D2" t="s">
        <v>0</v>
      </c>
      <c r="E2">
        <f>ABS(ABS(G2)/180*3.1415927/H2)</f>
        <v>0.22222222222222221</v>
      </c>
      <c r="F2">
        <v>50</v>
      </c>
      <c r="G2">
        <v>90</v>
      </c>
      <c r="H2">
        <f>SIGN(F2*G2)*SUMIF(abaqus!A:A,CONCATENATE("=",ABS(F2)),abaqus!B:B)</f>
        <v>7.0685835749999999</v>
      </c>
      <c r="I2">
        <f>IF(D2="E",-H2,0)</f>
        <v>-7.0685835749999999</v>
      </c>
      <c r="J2">
        <f>IF(D2="F",H2,0)</f>
        <v>0</v>
      </c>
      <c r="K2">
        <f>IF(D2="D",H2,0)</f>
        <v>0</v>
      </c>
      <c r="L2">
        <f>(I2+J2)*0.5*5.6/2</f>
        <v>-9.8960170049999991</v>
      </c>
      <c r="M2">
        <f>(I2-J2)/3.97/2*5.6/2</f>
        <v>-2.4926994974811079</v>
      </c>
      <c r="N2">
        <v>-31.738035264483631</v>
      </c>
      <c r="O2">
        <v>-2.0883647455464178</v>
      </c>
      <c r="P2">
        <v>0.59366502983530822</v>
      </c>
      <c r="Q2">
        <f>IF(D2="E",$H2*$E2/3.1415927*180+$AA$1,0)</f>
        <v>90</v>
      </c>
      <c r="R2">
        <f>IF(D2="F",$H2*$E2/3.1415927*180+$AA$1,0)</f>
        <v>0</v>
      </c>
      <c r="S2">
        <f>IF(D2="D",$H2*$E2/3.1415927*180+$AA$1,0)</f>
        <v>0</v>
      </c>
    </row>
    <row r="3" spans="1:19" x14ac:dyDescent="0.55000000000000004">
      <c r="A3">
        <v>0</v>
      </c>
      <c r="B3">
        <v>0</v>
      </c>
      <c r="C3">
        <v>0</v>
      </c>
      <c r="D3" t="s">
        <v>0</v>
      </c>
      <c r="E3">
        <f t="shared" ref="E3:E37" si="0">ABS(ABS(G3)/180*3.1415927/H3)</f>
        <v>0.22222222222222221</v>
      </c>
      <c r="F3">
        <f>F2</f>
        <v>50</v>
      </c>
      <c r="G3">
        <v>-90</v>
      </c>
      <c r="H3">
        <f>SIGN(F3*G3)*SUMIF(abaqus!A:A,CONCATENATE("=",ABS(F3)),abaqus!B:B)</f>
        <v>-7.0685835749999999</v>
      </c>
      <c r="I3">
        <f t="shared" ref="I3:I37" si="1">IF(D3="E",-H3,0)</f>
        <v>7.0685835749999999</v>
      </c>
      <c r="J3">
        <f t="shared" ref="J3:J37" si="2">IF(D3="F",H3,0)</f>
        <v>0</v>
      </c>
      <c r="K3">
        <f t="shared" ref="K3:K37" si="3">IF(D3="D",H3,0)</f>
        <v>0</v>
      </c>
      <c r="L3">
        <f t="shared" ref="L3:L37" si="4">(I3+J3)*0.5*5.6/2</f>
        <v>9.8960170049999991</v>
      </c>
      <c r="M3">
        <f t="shared" ref="M3:M37" si="5">(I3-J3)/3.97/2*5.6/2</f>
        <v>2.4926994974811079</v>
      </c>
      <c r="N3">
        <v>31.738035264483631</v>
      </c>
      <c r="O3">
        <v>2.0883647455464178</v>
      </c>
      <c r="P3">
        <v>0.59366502983530822</v>
      </c>
      <c r="Q3">
        <f>IF(D3="E",$H3*$E3/3.1415927*180+$AA$1,0)</f>
        <v>-90</v>
      </c>
      <c r="R3">
        <f t="shared" ref="R3:R37" si="6">IF(D3="F",$H3*$E3/3.1415927*180+$AA$1,0)</f>
        <v>0</v>
      </c>
      <c r="S3">
        <f t="shared" ref="S3:S37" si="7">IF(D3="D",$H3*$E3/3.1415927*180+$AA$1,0)</f>
        <v>0</v>
      </c>
    </row>
    <row r="4" spans="1:19" x14ac:dyDescent="0.55000000000000004">
      <c r="A4">
        <v>0</v>
      </c>
      <c r="B4">
        <v>0</v>
      </c>
      <c r="C4">
        <v>0</v>
      </c>
      <c r="D4" t="s">
        <v>0</v>
      </c>
      <c r="E4">
        <f t="shared" si="0"/>
        <v>0.22222222222222221</v>
      </c>
      <c r="F4">
        <f>-F3</f>
        <v>-50</v>
      </c>
      <c r="G4">
        <v>90</v>
      </c>
      <c r="H4">
        <f>SIGN(F4*G4)*SUMIF(abaqus!A:A,CONCATENATE("=",ABS(F4)),abaqus!B:B)</f>
        <v>-7.0685835749999999</v>
      </c>
      <c r="I4">
        <f t="shared" si="1"/>
        <v>7.0685835749999999</v>
      </c>
      <c r="J4">
        <f t="shared" si="2"/>
        <v>0</v>
      </c>
      <c r="K4">
        <f t="shared" si="3"/>
        <v>0</v>
      </c>
      <c r="L4">
        <f t="shared" si="4"/>
        <v>9.8960170049999991</v>
      </c>
      <c r="M4">
        <f t="shared" si="5"/>
        <v>2.4926994974811079</v>
      </c>
      <c r="N4">
        <v>31.738035264483631</v>
      </c>
      <c r="O4">
        <v>2.0883647455464178</v>
      </c>
      <c r="P4">
        <v>0.59366502983530822</v>
      </c>
      <c r="Q4">
        <f t="shared" ref="Q3:Q37" si="8">IF(D4="E",$H4*$E4/3.1415927*180+$AA$1,0)</f>
        <v>-90</v>
      </c>
      <c r="R4">
        <f t="shared" si="6"/>
        <v>0</v>
      </c>
      <c r="S4">
        <f t="shared" si="7"/>
        <v>0</v>
      </c>
    </row>
    <row r="5" spans="1:19" x14ac:dyDescent="0.55000000000000004">
      <c r="A5">
        <v>0</v>
      </c>
      <c r="B5">
        <v>0</v>
      </c>
      <c r="C5">
        <v>0</v>
      </c>
      <c r="D5" t="s">
        <v>0</v>
      </c>
      <c r="E5">
        <f t="shared" si="0"/>
        <v>0.22222222222222221</v>
      </c>
      <c r="F5">
        <f>F4</f>
        <v>-50</v>
      </c>
      <c r="G5">
        <v>-90</v>
      </c>
      <c r="H5">
        <f>SIGN(F5*G5)*SUMIF(abaqus!A:A,CONCATENATE("=",ABS(F5)),abaqus!B:B)</f>
        <v>7.0685835749999999</v>
      </c>
      <c r="I5">
        <f t="shared" si="1"/>
        <v>-7.0685835749999999</v>
      </c>
      <c r="J5">
        <f t="shared" si="2"/>
        <v>0</v>
      </c>
      <c r="K5">
        <f t="shared" si="3"/>
        <v>0</v>
      </c>
      <c r="L5">
        <f t="shared" si="4"/>
        <v>-9.8960170049999991</v>
      </c>
      <c r="M5">
        <f t="shared" si="5"/>
        <v>-2.4926994974811079</v>
      </c>
      <c r="N5">
        <v>-31.738035264483631</v>
      </c>
      <c r="O5">
        <v>-2.0883647455464178</v>
      </c>
      <c r="P5">
        <v>0.59366502983530822</v>
      </c>
      <c r="Q5">
        <f t="shared" si="8"/>
        <v>90</v>
      </c>
      <c r="R5">
        <f t="shared" si="6"/>
        <v>0</v>
      </c>
      <c r="S5">
        <f t="shared" si="7"/>
        <v>0</v>
      </c>
    </row>
    <row r="6" spans="1:19" x14ac:dyDescent="0.55000000000000004">
      <c r="A6">
        <v>0</v>
      </c>
      <c r="B6">
        <v>0</v>
      </c>
      <c r="C6">
        <v>0</v>
      </c>
      <c r="D6" t="s">
        <v>0</v>
      </c>
      <c r="E6">
        <f>ABS(ABS(G6)/180*3.1415927/H6)</f>
        <v>0.1111111111111111</v>
      </c>
      <c r="F6">
        <f>-F5</f>
        <v>50</v>
      </c>
      <c r="G6">
        <v>45</v>
      </c>
      <c r="H6">
        <f>SIGN(F6*G6)*SUMIF(abaqus!A:A,CONCATENATE("=",ABS(F6)),abaqus!B:B)</f>
        <v>7.0685835749999999</v>
      </c>
      <c r="I6">
        <f>IF(D6="E",-H6,0)</f>
        <v>-7.0685835749999999</v>
      </c>
      <c r="J6">
        <f>IF(D6="F",H6,0)</f>
        <v>0</v>
      </c>
      <c r="K6">
        <f>IF(D6="D",H6,0)</f>
        <v>0</v>
      </c>
      <c r="L6">
        <f>(I6+J6)*0.5*5.6/2</f>
        <v>-9.8960170049999991</v>
      </c>
      <c r="M6">
        <f>(I6-J6)/3.97/2*5.6/2</f>
        <v>-2.4926994974811079</v>
      </c>
      <c r="N6">
        <v>-15.869017632241755</v>
      </c>
      <c r="O6">
        <v>-1.0855534437792742</v>
      </c>
      <c r="P6">
        <v>0.1512993037578696</v>
      </c>
      <c r="Q6">
        <f>IF(D6="E",$H6*$E6/3.1415927*180+$AA$1,0)</f>
        <v>45</v>
      </c>
      <c r="R6">
        <f>IF(D6="F",$H6*$E6/3.1415927*180+$AA$1,0)</f>
        <v>0</v>
      </c>
      <c r="S6">
        <f>IF(D6="D",$H6*$E6/3.1415927*180+$AA$1,0)</f>
        <v>0</v>
      </c>
    </row>
    <row r="7" spans="1:19" x14ac:dyDescent="0.55000000000000004">
      <c r="A7">
        <v>0</v>
      </c>
      <c r="B7">
        <v>0</v>
      </c>
      <c r="C7">
        <v>0</v>
      </c>
      <c r="D7" t="s">
        <v>0</v>
      </c>
      <c r="E7">
        <f t="shared" ref="E7:E9" si="9">ABS(ABS(G7)/180*3.1415927/H7)</f>
        <v>0.1111111111111111</v>
      </c>
      <c r="F7">
        <f>F6</f>
        <v>50</v>
      </c>
      <c r="G7">
        <f>-G6</f>
        <v>-45</v>
      </c>
      <c r="H7">
        <f>SIGN(F7*G7)*SUMIF(abaqus!A:A,CONCATENATE("=",ABS(F7)),abaqus!B:B)</f>
        <v>-7.0685835749999999</v>
      </c>
      <c r="I7">
        <f t="shared" ref="I7:I9" si="10">IF(D7="E",-H7,0)</f>
        <v>7.0685835749999999</v>
      </c>
      <c r="J7">
        <f t="shared" ref="J7:J9" si="11">IF(D7="F",H7,0)</f>
        <v>0</v>
      </c>
      <c r="K7">
        <f t="shared" ref="K7:K9" si="12">IF(D7="D",H7,0)</f>
        <v>0</v>
      </c>
      <c r="L7">
        <f t="shared" ref="L7:L9" si="13">(I7+J7)*0.5*5.6/2</f>
        <v>9.8960170049999991</v>
      </c>
      <c r="M7">
        <f t="shared" ref="M7:M9" si="14">(I7-J7)/3.97/2*5.6/2</f>
        <v>2.4926994974811079</v>
      </c>
      <c r="N7">
        <v>15.869017632241755</v>
      </c>
      <c r="O7">
        <v>1.0855534437792742</v>
      </c>
      <c r="P7">
        <v>0.1512993037578696</v>
      </c>
      <c r="Q7">
        <f t="shared" ref="Q7:Q9" si="15">IF(D7="E",$H7*$E7/3.1415927*180+$AA$1,0)</f>
        <v>-45</v>
      </c>
      <c r="R7">
        <f t="shared" ref="R7:R9" si="16">IF(D7="F",$H7*$E7/3.1415927*180+$AA$1,0)</f>
        <v>0</v>
      </c>
      <c r="S7">
        <f t="shared" ref="S7:S9" si="17">IF(D7="D",$H7*$E7/3.1415927*180+$AA$1,0)</f>
        <v>0</v>
      </c>
    </row>
    <row r="8" spans="1:19" x14ac:dyDescent="0.55000000000000004">
      <c r="A8">
        <v>0</v>
      </c>
      <c r="B8">
        <v>0</v>
      </c>
      <c r="C8">
        <v>0</v>
      </c>
      <c r="D8" t="s">
        <v>0</v>
      </c>
      <c r="E8">
        <f t="shared" si="9"/>
        <v>0.1111111111111111</v>
      </c>
      <c r="F8">
        <f>-F7</f>
        <v>-50</v>
      </c>
      <c r="G8">
        <f>-G7</f>
        <v>45</v>
      </c>
      <c r="H8">
        <f>SIGN(F8*G8)*SUMIF(abaqus!A:A,CONCATENATE("=",ABS(F8)),abaqus!B:B)</f>
        <v>-7.0685835749999999</v>
      </c>
      <c r="I8">
        <f t="shared" si="10"/>
        <v>7.0685835749999999</v>
      </c>
      <c r="J8">
        <f t="shared" si="11"/>
        <v>0</v>
      </c>
      <c r="K8">
        <f t="shared" si="12"/>
        <v>0</v>
      </c>
      <c r="L8">
        <f t="shared" si="13"/>
        <v>9.8960170049999991</v>
      </c>
      <c r="M8">
        <f t="shared" si="14"/>
        <v>2.4926994974811079</v>
      </c>
      <c r="N8">
        <v>15.869017632241755</v>
      </c>
      <c r="O8">
        <v>1.0855534437792742</v>
      </c>
      <c r="P8">
        <v>0.1512993037578696</v>
      </c>
      <c r="Q8">
        <f t="shared" si="15"/>
        <v>-45</v>
      </c>
      <c r="R8">
        <f t="shared" si="16"/>
        <v>0</v>
      </c>
      <c r="S8">
        <f t="shared" si="17"/>
        <v>0</v>
      </c>
    </row>
    <row r="9" spans="1:19" x14ac:dyDescent="0.55000000000000004">
      <c r="A9">
        <v>0</v>
      </c>
      <c r="B9">
        <v>0</v>
      </c>
      <c r="C9">
        <v>0</v>
      </c>
      <c r="D9" t="s">
        <v>0</v>
      </c>
      <c r="E9">
        <f t="shared" si="9"/>
        <v>0.1111111111111111</v>
      </c>
      <c r="F9">
        <f>F8</f>
        <v>-50</v>
      </c>
      <c r="G9">
        <f t="shared" ref="G9:G17" si="18">-G8</f>
        <v>-45</v>
      </c>
      <c r="H9">
        <f>SIGN(F9*G9)*SUMIF(abaqus!A:A,CONCATENATE("=",ABS(F9)),abaqus!B:B)</f>
        <v>7.0685835749999999</v>
      </c>
      <c r="I9">
        <f t="shared" si="10"/>
        <v>-7.0685835749999999</v>
      </c>
      <c r="J9">
        <f t="shared" si="11"/>
        <v>0</v>
      </c>
      <c r="K9">
        <f t="shared" si="12"/>
        <v>0</v>
      </c>
      <c r="L9">
        <f t="shared" si="13"/>
        <v>-9.8960170049999991</v>
      </c>
      <c r="M9">
        <f t="shared" si="14"/>
        <v>-2.4926994974811079</v>
      </c>
      <c r="N9">
        <v>-15.869017632241755</v>
      </c>
      <c r="O9">
        <v>-1.0855534437792742</v>
      </c>
      <c r="P9">
        <v>0.1512993037578696</v>
      </c>
      <c r="Q9">
        <f t="shared" si="15"/>
        <v>45</v>
      </c>
      <c r="R9">
        <f t="shared" si="16"/>
        <v>0</v>
      </c>
      <c r="S9">
        <f t="shared" si="17"/>
        <v>0</v>
      </c>
    </row>
    <row r="10" spans="1:19" x14ac:dyDescent="0.55000000000000004">
      <c r="A10">
        <v>0</v>
      </c>
      <c r="B10">
        <v>0</v>
      </c>
      <c r="C10">
        <v>0</v>
      </c>
      <c r="D10" t="s">
        <v>0</v>
      </c>
      <c r="E10">
        <f>ABS(ABS(G10)/180*3.1415927/H10)</f>
        <v>0.48148148148148145</v>
      </c>
      <c r="F10">
        <v>50</v>
      </c>
      <c r="G10">
        <v>195</v>
      </c>
      <c r="H10">
        <f>SIGN(F10*G10)*SUMIF(abaqus!A:A,CONCATENATE("=",ABS(F10)),abaqus!B:B)</f>
        <v>7.0685835749999999</v>
      </c>
      <c r="I10">
        <f>IF(D10="E",-H10,0)</f>
        <v>-7.0685835749999999</v>
      </c>
      <c r="J10">
        <f>IF(D10="F",H10,0)</f>
        <v>0</v>
      </c>
      <c r="K10">
        <f>IF(D10="D",H10,0)</f>
        <v>0</v>
      </c>
      <c r="L10">
        <f>(I10+J10)*0.5*5.6/2</f>
        <v>-9.8960170049999991</v>
      </c>
      <c r="M10">
        <f>(I10-J10)/3.97/2*5.6/2</f>
        <v>-2.4926994974811079</v>
      </c>
      <c r="N10">
        <v>-68.765743073048327</v>
      </c>
      <c r="O10">
        <v>-3.7004693891797515</v>
      </c>
      <c r="P10">
        <v>2.5321368966857389</v>
      </c>
      <c r="Q10">
        <f>IF(D10="E",$H10*$E10/3.1415927*180+$AA$1,0)</f>
        <v>195</v>
      </c>
      <c r="R10">
        <f>IF(D10="F",$H10*$E10/3.1415927*180+$AA$1,0)</f>
        <v>0</v>
      </c>
      <c r="S10">
        <f>IF(D10="D",$H10*$E10/3.1415927*180+$AA$1,0)</f>
        <v>0</v>
      </c>
    </row>
    <row r="11" spans="1:19" x14ac:dyDescent="0.55000000000000004">
      <c r="A11">
        <v>0</v>
      </c>
      <c r="B11">
        <v>0</v>
      </c>
      <c r="C11">
        <v>0</v>
      </c>
      <c r="D11" t="s">
        <v>0</v>
      </c>
      <c r="E11">
        <f t="shared" ref="E11:E13" si="19">ABS(ABS(G11)/180*3.1415927/H11)</f>
        <v>0.48148148148148145</v>
      </c>
      <c r="F11">
        <f>F10</f>
        <v>50</v>
      </c>
      <c r="G11">
        <f t="shared" si="18"/>
        <v>-195</v>
      </c>
      <c r="H11">
        <f>SIGN(F11*G11)*SUMIF(abaqus!A:A,CONCATENATE("=",ABS(F11)),abaqus!B:B)</f>
        <v>-7.0685835749999999</v>
      </c>
      <c r="I11">
        <f t="shared" ref="I11:I13" si="20">IF(D11="E",-H11,0)</f>
        <v>7.0685835749999999</v>
      </c>
      <c r="J11">
        <f t="shared" ref="J11:J13" si="21">IF(D11="F",H11,0)</f>
        <v>0</v>
      </c>
      <c r="K11">
        <f t="shared" ref="K11:K13" si="22">IF(D11="D",H11,0)</f>
        <v>0</v>
      </c>
      <c r="L11">
        <f t="shared" ref="L11:L13" si="23">(I11+J11)*0.5*5.6/2</f>
        <v>9.8960170049999991</v>
      </c>
      <c r="M11">
        <f t="shared" ref="M11:M13" si="24">(I11-J11)/3.97/2*5.6/2</f>
        <v>2.4926994974811079</v>
      </c>
      <c r="N11">
        <v>68.765743073048327</v>
      </c>
      <c r="O11">
        <v>3.7004693891797515</v>
      </c>
      <c r="P11">
        <v>2.5321368966857389</v>
      </c>
      <c r="Q11">
        <f t="shared" ref="Q11:Q13" si="25">IF(D11="E",$H11*$E11/3.1415927*180+$AA$1,0)</f>
        <v>-195</v>
      </c>
      <c r="R11">
        <f t="shared" ref="R11:R13" si="26">IF(D11="F",$H11*$E11/3.1415927*180+$AA$1,0)</f>
        <v>0</v>
      </c>
      <c r="S11">
        <f t="shared" ref="S11:S13" si="27">IF(D11="D",$H11*$E11/3.1415927*180+$AA$1,0)</f>
        <v>0</v>
      </c>
    </row>
    <row r="12" spans="1:19" x14ac:dyDescent="0.55000000000000004">
      <c r="A12">
        <v>0</v>
      </c>
      <c r="B12">
        <v>0</v>
      </c>
      <c r="C12">
        <v>0</v>
      </c>
      <c r="D12" t="s">
        <v>0</v>
      </c>
      <c r="E12">
        <f t="shared" si="19"/>
        <v>0.48148148148148145</v>
      </c>
      <c r="F12">
        <f>-F11</f>
        <v>-50</v>
      </c>
      <c r="G12">
        <f t="shared" si="18"/>
        <v>195</v>
      </c>
      <c r="H12">
        <f>SIGN(F12*G12)*SUMIF(abaqus!A:A,CONCATENATE("=",ABS(F12)),abaqus!B:B)</f>
        <v>-7.0685835749999999</v>
      </c>
      <c r="I12">
        <f t="shared" si="20"/>
        <v>7.0685835749999999</v>
      </c>
      <c r="J12">
        <f t="shared" si="21"/>
        <v>0</v>
      </c>
      <c r="K12">
        <f t="shared" si="22"/>
        <v>0</v>
      </c>
      <c r="L12">
        <f t="shared" si="23"/>
        <v>9.8960170049999991</v>
      </c>
      <c r="M12">
        <f t="shared" si="24"/>
        <v>2.4926994974811079</v>
      </c>
      <c r="N12">
        <v>68.765743073048327</v>
      </c>
      <c r="O12">
        <v>3.7004693891797515</v>
      </c>
      <c r="P12">
        <v>2.5321368966857389</v>
      </c>
      <c r="Q12">
        <f t="shared" si="25"/>
        <v>-195</v>
      </c>
      <c r="R12">
        <f t="shared" si="26"/>
        <v>0</v>
      </c>
      <c r="S12">
        <f t="shared" si="27"/>
        <v>0</v>
      </c>
    </row>
    <row r="13" spans="1:19" x14ac:dyDescent="0.55000000000000004">
      <c r="A13">
        <v>0</v>
      </c>
      <c r="B13">
        <v>0</v>
      </c>
      <c r="C13">
        <v>0</v>
      </c>
      <c r="D13" t="s">
        <v>0</v>
      </c>
      <c r="E13">
        <f t="shared" si="19"/>
        <v>0.48148148148148145</v>
      </c>
      <c r="F13">
        <f>F12</f>
        <v>-50</v>
      </c>
      <c r="G13">
        <f t="shared" si="18"/>
        <v>-195</v>
      </c>
      <c r="H13">
        <f>SIGN(F13*G13)*SUMIF(abaqus!A:A,CONCATENATE("=",ABS(F13)),abaqus!B:B)</f>
        <v>7.0685835749999999</v>
      </c>
      <c r="I13">
        <f t="shared" si="20"/>
        <v>-7.0685835749999999</v>
      </c>
      <c r="J13">
        <f t="shared" si="21"/>
        <v>0</v>
      </c>
      <c r="K13">
        <f t="shared" si="22"/>
        <v>0</v>
      </c>
      <c r="L13">
        <f t="shared" si="23"/>
        <v>-9.8960170049999991</v>
      </c>
      <c r="M13">
        <f t="shared" si="24"/>
        <v>-2.4926994974811079</v>
      </c>
      <c r="N13">
        <v>-68.765743073048327</v>
      </c>
      <c r="O13">
        <v>-3.7004693891797515</v>
      </c>
      <c r="P13">
        <v>2.5321368966857389</v>
      </c>
      <c r="Q13">
        <f t="shared" si="25"/>
        <v>195</v>
      </c>
      <c r="R13">
        <f t="shared" si="26"/>
        <v>0</v>
      </c>
      <c r="S13">
        <f t="shared" si="27"/>
        <v>0</v>
      </c>
    </row>
    <row r="14" spans="1:19" x14ac:dyDescent="0.55000000000000004">
      <c r="A14">
        <v>0</v>
      </c>
      <c r="B14">
        <v>0</v>
      </c>
      <c r="C14">
        <v>0</v>
      </c>
      <c r="D14" t="s">
        <v>4</v>
      </c>
      <c r="E14">
        <f>ABS(ABS(G14)/180*3.1415927/H14)</f>
        <v>0.22222222222222221</v>
      </c>
      <c r="F14">
        <f>-F13</f>
        <v>50</v>
      </c>
      <c r="G14">
        <v>90</v>
      </c>
      <c r="H14">
        <f>SIGN(F14*G14)*SUMIF(abaqus!A:A,CONCATENATE("=",ABS(F14)),abaqus!B:B)</f>
        <v>7.0685835749999999</v>
      </c>
      <c r="I14">
        <f>IF(D14="E",-H14,0)</f>
        <v>0</v>
      </c>
      <c r="J14">
        <f>IF(D14="F",H14,0)</f>
        <v>7.0685835749999999</v>
      </c>
      <c r="K14">
        <f>IF(D14="D",H14,0)</f>
        <v>0</v>
      </c>
      <c r="L14">
        <f>(I14+J14)*0.5*5.6/2</f>
        <v>9.8960170049999991</v>
      </c>
      <c r="M14">
        <f>(I14-J14)/3.97/2*5.6/2</f>
        <v>-2.4926994974811079</v>
      </c>
      <c r="N14">
        <v>-31.738035264483631</v>
      </c>
      <c r="O14">
        <v>2.0883647455464178</v>
      </c>
      <c r="P14">
        <v>-0.59366502983530822</v>
      </c>
      <c r="Q14">
        <f>IF(D14="E",$H14*$E14/3.1415927*180+$AA$1,0)</f>
        <v>0</v>
      </c>
      <c r="R14">
        <f>IF(D14="F",$H14*$E14/3.1415927*180+$AA$1,0)</f>
        <v>90</v>
      </c>
      <c r="S14">
        <f>IF(D14="D",$H14*$E14/3.1415927*180+$AA$1,0)</f>
        <v>0</v>
      </c>
    </row>
    <row r="15" spans="1:19" x14ac:dyDescent="0.55000000000000004">
      <c r="A15">
        <v>0</v>
      </c>
      <c r="B15">
        <v>0</v>
      </c>
      <c r="C15">
        <v>0</v>
      </c>
      <c r="D15" t="s">
        <v>4</v>
      </c>
      <c r="E15">
        <f t="shared" ref="E15:E25" si="28">ABS(ABS(G15)/180*3.1415927/H15)</f>
        <v>0.22222222222222221</v>
      </c>
      <c r="F15">
        <f>F14</f>
        <v>50</v>
      </c>
      <c r="G15">
        <v>-90</v>
      </c>
      <c r="H15">
        <f>SIGN(F15*G15)*SUMIF(abaqus!A:A,CONCATENATE("=",ABS(F15)),abaqus!B:B)</f>
        <v>-7.0685835749999999</v>
      </c>
      <c r="I15">
        <f t="shared" ref="I15:I17" si="29">IF(D15="E",-H15,0)</f>
        <v>0</v>
      </c>
      <c r="J15">
        <f t="shared" ref="J15:J25" si="30">IF(D15="F",H15,0)</f>
        <v>-7.0685835749999999</v>
      </c>
      <c r="K15">
        <f t="shared" ref="K15:K25" si="31">IF(D15="D",H15,0)</f>
        <v>0</v>
      </c>
      <c r="L15">
        <f t="shared" ref="L15:L25" si="32">(I15+J15)*0.5*5.6/2</f>
        <v>-9.8960170049999991</v>
      </c>
      <c r="M15">
        <f t="shared" ref="M15:M25" si="33">(I15-J15)/3.97/2*5.6/2</f>
        <v>2.4926994974811079</v>
      </c>
      <c r="N15">
        <v>31.738035264483631</v>
      </c>
      <c r="O15">
        <v>-2.0883647455464178</v>
      </c>
      <c r="P15">
        <v>-0.59366502983530822</v>
      </c>
      <c r="Q15">
        <f t="shared" ref="Q15:Q25" si="34">IF(D15="E",$H15*$E15/3.1415927*180+$AA$1,0)</f>
        <v>0</v>
      </c>
      <c r="R15">
        <f t="shared" ref="R15:R25" si="35">IF(D15="F",$H15*$E15/3.1415927*180+$AA$1,0)</f>
        <v>-90</v>
      </c>
      <c r="S15">
        <f t="shared" ref="S15:S25" si="36">IF(D15="D",$H15*$E15/3.1415927*180+$AA$1,0)</f>
        <v>0</v>
      </c>
    </row>
    <row r="16" spans="1:19" x14ac:dyDescent="0.55000000000000004">
      <c r="A16">
        <v>0</v>
      </c>
      <c r="B16">
        <v>0</v>
      </c>
      <c r="C16">
        <v>0</v>
      </c>
      <c r="D16" t="s">
        <v>4</v>
      </c>
      <c r="E16">
        <f t="shared" si="28"/>
        <v>0.22222222222222221</v>
      </c>
      <c r="F16">
        <f>-F15</f>
        <v>-50</v>
      </c>
      <c r="G16">
        <v>90</v>
      </c>
      <c r="H16">
        <f>SIGN(F16*G16)*SUMIF(abaqus!A:A,CONCATENATE("=",ABS(F16)),abaqus!B:B)</f>
        <v>-7.0685835749999999</v>
      </c>
      <c r="I16">
        <f t="shared" si="29"/>
        <v>0</v>
      </c>
      <c r="J16">
        <f t="shared" si="30"/>
        <v>-7.0685835749999999</v>
      </c>
      <c r="K16">
        <f t="shared" si="31"/>
        <v>0</v>
      </c>
      <c r="L16">
        <f t="shared" si="32"/>
        <v>-9.8960170049999991</v>
      </c>
      <c r="M16">
        <f t="shared" si="33"/>
        <v>2.4926994974811079</v>
      </c>
      <c r="N16">
        <v>31.738035264483631</v>
      </c>
      <c r="O16">
        <v>-2.0883647455464178</v>
      </c>
      <c r="P16">
        <v>-0.59366502983530822</v>
      </c>
      <c r="Q16">
        <f t="shared" si="34"/>
        <v>0</v>
      </c>
      <c r="R16">
        <f t="shared" si="35"/>
        <v>-90</v>
      </c>
      <c r="S16">
        <f t="shared" si="36"/>
        <v>0</v>
      </c>
    </row>
    <row r="17" spans="1:19" x14ac:dyDescent="0.55000000000000004">
      <c r="A17">
        <v>0</v>
      </c>
      <c r="B17">
        <v>0</v>
      </c>
      <c r="C17">
        <v>0</v>
      </c>
      <c r="D17" t="s">
        <v>4</v>
      </c>
      <c r="E17">
        <f t="shared" si="28"/>
        <v>0.22222222222222221</v>
      </c>
      <c r="F17">
        <f>F16</f>
        <v>-50</v>
      </c>
      <c r="G17">
        <v>-90</v>
      </c>
      <c r="H17">
        <f>SIGN(F17*G17)*SUMIF(abaqus!A:A,CONCATENATE("=",ABS(F17)),abaqus!B:B)</f>
        <v>7.0685835749999999</v>
      </c>
      <c r="I17">
        <f t="shared" si="29"/>
        <v>0</v>
      </c>
      <c r="J17">
        <f t="shared" si="30"/>
        <v>7.0685835749999999</v>
      </c>
      <c r="K17">
        <f t="shared" si="31"/>
        <v>0</v>
      </c>
      <c r="L17">
        <f t="shared" si="32"/>
        <v>9.8960170049999991</v>
      </c>
      <c r="M17">
        <f t="shared" si="33"/>
        <v>-2.4926994974811079</v>
      </c>
      <c r="N17">
        <v>-31.738035264483631</v>
      </c>
      <c r="O17">
        <v>2.0883647455464178</v>
      </c>
      <c r="P17">
        <v>-0.59366502983530822</v>
      </c>
      <c r="Q17">
        <f t="shared" si="34"/>
        <v>0</v>
      </c>
      <c r="R17">
        <f t="shared" si="35"/>
        <v>90</v>
      </c>
      <c r="S17">
        <f t="shared" si="36"/>
        <v>0</v>
      </c>
    </row>
    <row r="18" spans="1:19" x14ac:dyDescent="0.55000000000000004">
      <c r="A18">
        <v>0</v>
      </c>
      <c r="B18">
        <v>0</v>
      </c>
      <c r="C18">
        <v>0</v>
      </c>
      <c r="D18" t="s">
        <v>4</v>
      </c>
      <c r="E18">
        <f>ABS(ABS(G18)/180*3.1415927/H18)</f>
        <v>0.1111111111111111</v>
      </c>
      <c r="F18">
        <v>50</v>
      </c>
      <c r="G18">
        <v>45</v>
      </c>
      <c r="H18">
        <f>SIGN(F18*G18)*SUMIF(abaqus!A:A,CONCATENATE("=",ABS(F18)),abaqus!B:B)</f>
        <v>7.0685835749999999</v>
      </c>
      <c r="I18">
        <f>IF(D18="E",-H18,0)</f>
        <v>0</v>
      </c>
      <c r="J18">
        <f>IF(D18="F",H18,0)</f>
        <v>7.0685835749999999</v>
      </c>
      <c r="K18">
        <f>IF(D18="D",H18,0)</f>
        <v>0</v>
      </c>
      <c r="L18">
        <f>(I18+J18)*0.5*5.6/2</f>
        <v>9.8960170049999991</v>
      </c>
      <c r="M18">
        <f>(I18-J18)/3.97/2*5.6/2</f>
        <v>-2.4926994974811079</v>
      </c>
      <c r="N18">
        <v>-15.869017632241755</v>
      </c>
      <c r="O18">
        <v>1.0855534437792742</v>
      </c>
      <c r="P18">
        <v>-0.1512993037578696</v>
      </c>
      <c r="Q18">
        <f>IF(D18="E",$H18*$E18/3.1415927*180+$AA$1,0)</f>
        <v>0</v>
      </c>
      <c r="R18">
        <f>IF(D18="F",$H18*$E18/3.1415927*180+$AA$1,0)</f>
        <v>45</v>
      </c>
      <c r="S18">
        <f>IF(D18="D",$H18*$E18/3.1415927*180+$AA$1,0)</f>
        <v>0</v>
      </c>
    </row>
    <row r="19" spans="1:19" x14ac:dyDescent="0.55000000000000004">
      <c r="A19">
        <v>0</v>
      </c>
      <c r="B19">
        <v>0</v>
      </c>
      <c r="C19">
        <v>0</v>
      </c>
      <c r="D19" t="s">
        <v>4</v>
      </c>
      <c r="E19">
        <f t="shared" ref="E19:E21" si="37">ABS(ABS(G19)/180*3.1415927/H19)</f>
        <v>0.1111111111111111</v>
      </c>
      <c r="F19">
        <f>F18</f>
        <v>50</v>
      </c>
      <c r="G19">
        <f>-G18</f>
        <v>-45</v>
      </c>
      <c r="H19">
        <f>SIGN(F19*G19)*SUMIF(abaqus!A:A,CONCATENATE("=",ABS(F19)),abaqus!B:B)</f>
        <v>-7.0685835749999999</v>
      </c>
      <c r="I19">
        <f t="shared" ref="I19:I21" si="38">IF(D19="E",-H19,0)</f>
        <v>0</v>
      </c>
      <c r="J19">
        <f t="shared" ref="J19:J21" si="39">IF(D19="F",H19,0)</f>
        <v>-7.0685835749999999</v>
      </c>
      <c r="K19">
        <f t="shared" ref="K19:K21" si="40">IF(D19="D",H19,0)</f>
        <v>0</v>
      </c>
      <c r="L19">
        <f t="shared" ref="L19:L21" si="41">(I19+J19)*0.5*5.6/2</f>
        <v>-9.8960170049999991</v>
      </c>
      <c r="M19">
        <f t="shared" ref="M19:M21" si="42">(I19-J19)/3.97/2*5.6/2</f>
        <v>2.4926994974811079</v>
      </c>
      <c r="N19">
        <v>15.869017632241755</v>
      </c>
      <c r="O19">
        <v>-1.0855534437792742</v>
      </c>
      <c r="P19">
        <v>-0.1512993037578696</v>
      </c>
      <c r="Q19">
        <f t="shared" ref="Q19:Q21" si="43">IF(D19="E",$H19*$E19/3.1415927*180+$AA$1,0)</f>
        <v>0</v>
      </c>
      <c r="R19">
        <f t="shared" ref="R19:R21" si="44">IF(D19="F",$H19*$E19/3.1415927*180+$AA$1,0)</f>
        <v>-45</v>
      </c>
      <c r="S19">
        <f t="shared" ref="S19:S21" si="45">IF(D19="D",$H19*$E19/3.1415927*180+$AA$1,0)</f>
        <v>0</v>
      </c>
    </row>
    <row r="20" spans="1:19" x14ac:dyDescent="0.55000000000000004">
      <c r="A20">
        <v>0</v>
      </c>
      <c r="B20">
        <v>0</v>
      </c>
      <c r="C20">
        <v>0</v>
      </c>
      <c r="D20" t="s">
        <v>4</v>
      </c>
      <c r="E20">
        <f t="shared" si="37"/>
        <v>0.1111111111111111</v>
      </c>
      <c r="F20">
        <f>-F19</f>
        <v>-50</v>
      </c>
      <c r="G20">
        <f>-G19</f>
        <v>45</v>
      </c>
      <c r="H20">
        <f>SIGN(F20*G20)*SUMIF(abaqus!A:A,CONCATENATE("=",ABS(F20)),abaqus!B:B)</f>
        <v>-7.0685835749999999</v>
      </c>
      <c r="I20">
        <f t="shared" si="38"/>
        <v>0</v>
      </c>
      <c r="J20">
        <f t="shared" si="39"/>
        <v>-7.0685835749999999</v>
      </c>
      <c r="K20">
        <f t="shared" si="40"/>
        <v>0</v>
      </c>
      <c r="L20">
        <f t="shared" si="41"/>
        <v>-9.8960170049999991</v>
      </c>
      <c r="M20">
        <f t="shared" si="42"/>
        <v>2.4926994974811079</v>
      </c>
      <c r="N20">
        <v>15.869017632241755</v>
      </c>
      <c r="O20">
        <v>-1.0855534437792742</v>
      </c>
      <c r="P20">
        <v>-0.1512993037578696</v>
      </c>
      <c r="Q20">
        <f t="shared" si="43"/>
        <v>0</v>
      </c>
      <c r="R20">
        <f t="shared" si="44"/>
        <v>-45</v>
      </c>
      <c r="S20">
        <f t="shared" si="45"/>
        <v>0</v>
      </c>
    </row>
    <row r="21" spans="1:19" x14ac:dyDescent="0.55000000000000004">
      <c r="A21">
        <v>0</v>
      </c>
      <c r="B21">
        <v>0</v>
      </c>
      <c r="C21">
        <v>0</v>
      </c>
      <c r="D21" t="s">
        <v>4</v>
      </c>
      <c r="E21">
        <f t="shared" si="37"/>
        <v>0.1111111111111111</v>
      </c>
      <c r="F21">
        <f>F20</f>
        <v>-50</v>
      </c>
      <c r="G21">
        <f t="shared" ref="G21:G25" si="46">-G20</f>
        <v>-45</v>
      </c>
      <c r="H21">
        <f>SIGN(F21*G21)*SUMIF(abaqus!A:A,CONCATENATE("=",ABS(F21)),abaqus!B:B)</f>
        <v>7.0685835749999999</v>
      </c>
      <c r="I21">
        <f t="shared" si="38"/>
        <v>0</v>
      </c>
      <c r="J21">
        <f t="shared" si="39"/>
        <v>7.0685835749999999</v>
      </c>
      <c r="K21">
        <f t="shared" si="40"/>
        <v>0</v>
      </c>
      <c r="L21">
        <f t="shared" si="41"/>
        <v>9.8960170049999991</v>
      </c>
      <c r="M21">
        <f t="shared" si="42"/>
        <v>-2.4926994974811079</v>
      </c>
      <c r="N21">
        <v>-15.869017632241755</v>
      </c>
      <c r="O21">
        <v>1.0855534437792742</v>
      </c>
      <c r="P21">
        <v>-0.1512993037578696</v>
      </c>
      <c r="Q21">
        <f t="shared" si="43"/>
        <v>0</v>
      </c>
      <c r="R21">
        <f t="shared" si="44"/>
        <v>45</v>
      </c>
      <c r="S21">
        <f t="shared" si="45"/>
        <v>0</v>
      </c>
    </row>
    <row r="22" spans="1:19" x14ac:dyDescent="0.55000000000000004">
      <c r="A22">
        <v>0</v>
      </c>
      <c r="B22">
        <v>0</v>
      </c>
      <c r="C22">
        <v>0</v>
      </c>
      <c r="D22" t="s">
        <v>4</v>
      </c>
      <c r="E22">
        <f>ABS(ABS(G22)/180*3.1415927/H22)</f>
        <v>0.48148148148148145</v>
      </c>
      <c r="F22">
        <f>-F21</f>
        <v>50</v>
      </c>
      <c r="G22">
        <v>195</v>
      </c>
      <c r="H22">
        <f>SIGN(F22*G22)*SUMIF(abaqus!A:A,CONCATENATE("=",ABS(F22)),abaqus!B:B)</f>
        <v>7.0685835749999999</v>
      </c>
      <c r="I22">
        <f>IF(D22="E",-H22,0)</f>
        <v>0</v>
      </c>
      <c r="J22">
        <f>IF(D22="F",H22,0)</f>
        <v>7.0685835749999999</v>
      </c>
      <c r="K22">
        <f>IF(D22="D",H22,0)</f>
        <v>0</v>
      </c>
      <c r="L22">
        <f>(I22+J22)*0.5*5.6/2</f>
        <v>9.8960170049999991</v>
      </c>
      <c r="M22">
        <f>(I22-J22)/3.97/2*5.6/2</f>
        <v>-2.4926994974811079</v>
      </c>
      <c r="N22">
        <v>-68.765743073048327</v>
      </c>
      <c r="O22">
        <v>3.7004693891797515</v>
      </c>
      <c r="P22">
        <v>-2.5321368966857389</v>
      </c>
      <c r="Q22">
        <f>IF(D22="E",$H22*$E22/3.1415927*180+$AA$1,0)</f>
        <v>0</v>
      </c>
      <c r="R22">
        <f>IF(D22="F",$H22*$E22/3.1415927*180+$AA$1,0)</f>
        <v>195</v>
      </c>
      <c r="S22">
        <f>IF(D22="D",$H22*$E22/3.1415927*180+$AA$1,0)</f>
        <v>0</v>
      </c>
    </row>
    <row r="23" spans="1:19" x14ac:dyDescent="0.55000000000000004">
      <c r="A23">
        <v>0</v>
      </c>
      <c r="B23">
        <v>0</v>
      </c>
      <c r="C23">
        <v>0</v>
      </c>
      <c r="D23" t="s">
        <v>4</v>
      </c>
      <c r="E23">
        <f t="shared" ref="E23:E25" si="47">ABS(ABS(G23)/180*3.1415927/H23)</f>
        <v>0.48148148148148145</v>
      </c>
      <c r="F23">
        <f>F22</f>
        <v>50</v>
      </c>
      <c r="G23">
        <f t="shared" ref="G23:G25" si="48">-G22</f>
        <v>-195</v>
      </c>
      <c r="H23">
        <f>SIGN(F23*G23)*SUMIF(abaqus!A:A,CONCATENATE("=",ABS(F23)),abaqus!B:B)</f>
        <v>-7.0685835749999999</v>
      </c>
      <c r="I23">
        <f t="shared" ref="I23:I25" si="49">IF(D23="E",-H23,0)</f>
        <v>0</v>
      </c>
      <c r="J23">
        <f t="shared" ref="J23:J25" si="50">IF(D23="F",H23,0)</f>
        <v>-7.0685835749999999</v>
      </c>
      <c r="K23">
        <f t="shared" ref="K23:K25" si="51">IF(D23="D",H23,0)</f>
        <v>0</v>
      </c>
      <c r="L23">
        <f t="shared" ref="L23:L25" si="52">(I23+J23)*0.5*5.6/2</f>
        <v>-9.8960170049999991</v>
      </c>
      <c r="M23">
        <f t="shared" ref="M23:M25" si="53">(I23-J23)/3.97/2*5.6/2</f>
        <v>2.4926994974811079</v>
      </c>
      <c r="N23">
        <v>68.765743073048327</v>
      </c>
      <c r="O23">
        <v>-3.7004693891797515</v>
      </c>
      <c r="P23">
        <v>-2.5321368966857389</v>
      </c>
      <c r="Q23">
        <f t="shared" ref="Q23:Q25" si="54">IF(D23="E",$H23*$E23/3.1415927*180+$AA$1,0)</f>
        <v>0</v>
      </c>
      <c r="R23">
        <f t="shared" ref="R23:R25" si="55">IF(D23="F",$H23*$E23/3.1415927*180+$AA$1,0)</f>
        <v>-195</v>
      </c>
      <c r="S23">
        <f t="shared" ref="S23:S25" si="56">IF(D23="D",$H23*$E23/3.1415927*180+$AA$1,0)</f>
        <v>0</v>
      </c>
    </row>
    <row r="24" spans="1:19" x14ac:dyDescent="0.55000000000000004">
      <c r="A24">
        <v>0</v>
      </c>
      <c r="B24">
        <v>0</v>
      </c>
      <c r="C24">
        <v>0</v>
      </c>
      <c r="D24" t="s">
        <v>4</v>
      </c>
      <c r="E24">
        <f t="shared" si="47"/>
        <v>0.48148148148148145</v>
      </c>
      <c r="F24">
        <f>-F23</f>
        <v>-50</v>
      </c>
      <c r="G24">
        <f t="shared" si="48"/>
        <v>195</v>
      </c>
      <c r="H24">
        <f>SIGN(F24*G24)*SUMIF(abaqus!A:A,CONCATENATE("=",ABS(F24)),abaqus!B:B)</f>
        <v>-7.0685835749999999</v>
      </c>
      <c r="I24">
        <f t="shared" si="49"/>
        <v>0</v>
      </c>
      <c r="J24">
        <f t="shared" si="50"/>
        <v>-7.0685835749999999</v>
      </c>
      <c r="K24">
        <f t="shared" si="51"/>
        <v>0</v>
      </c>
      <c r="L24">
        <f t="shared" si="52"/>
        <v>-9.8960170049999991</v>
      </c>
      <c r="M24">
        <f t="shared" si="53"/>
        <v>2.4926994974811079</v>
      </c>
      <c r="N24">
        <v>68.765743073048327</v>
      </c>
      <c r="O24">
        <v>-3.7004693891797515</v>
      </c>
      <c r="P24">
        <v>-2.5321368966857389</v>
      </c>
      <c r="Q24">
        <f t="shared" si="54"/>
        <v>0</v>
      </c>
      <c r="R24">
        <f t="shared" si="55"/>
        <v>-195</v>
      </c>
      <c r="S24">
        <f t="shared" si="56"/>
        <v>0</v>
      </c>
    </row>
    <row r="25" spans="1:19" x14ac:dyDescent="0.55000000000000004">
      <c r="A25">
        <v>0</v>
      </c>
      <c r="B25">
        <v>0</v>
      </c>
      <c r="C25">
        <v>0</v>
      </c>
      <c r="D25" t="s">
        <v>4</v>
      </c>
      <c r="E25">
        <f t="shared" si="47"/>
        <v>0.48148148148148145</v>
      </c>
      <c r="F25">
        <f>F24</f>
        <v>-50</v>
      </c>
      <c r="G25">
        <f t="shared" si="48"/>
        <v>-195</v>
      </c>
      <c r="H25">
        <f>SIGN(F25*G25)*SUMIF(abaqus!A:A,CONCATENATE("=",ABS(F25)),abaqus!B:B)</f>
        <v>7.0685835749999999</v>
      </c>
      <c r="I25">
        <f t="shared" si="49"/>
        <v>0</v>
      </c>
      <c r="J25">
        <f t="shared" si="50"/>
        <v>7.0685835749999999</v>
      </c>
      <c r="K25">
        <f t="shared" si="51"/>
        <v>0</v>
      </c>
      <c r="L25">
        <f t="shared" si="52"/>
        <v>9.8960170049999991</v>
      </c>
      <c r="M25">
        <f t="shared" si="53"/>
        <v>-2.4926994974811079</v>
      </c>
      <c r="N25">
        <v>-68.765743073048327</v>
      </c>
      <c r="O25">
        <v>3.7004693891797515</v>
      </c>
      <c r="P25">
        <v>-2.5321368966857389</v>
      </c>
      <c r="Q25">
        <f t="shared" si="54"/>
        <v>0</v>
      </c>
      <c r="R25">
        <f t="shared" si="55"/>
        <v>195</v>
      </c>
      <c r="S25">
        <f t="shared" si="56"/>
        <v>0</v>
      </c>
    </row>
    <row r="26" spans="1:19" x14ac:dyDescent="0.55000000000000004">
      <c r="A26">
        <v>0</v>
      </c>
      <c r="B26">
        <v>0</v>
      </c>
      <c r="C26">
        <v>0</v>
      </c>
      <c r="D26" t="s">
        <v>18</v>
      </c>
      <c r="E26">
        <f>ABS(ABS(G26)/180*3.1415927/H26)</f>
        <v>0.22222222222222221</v>
      </c>
      <c r="F26">
        <v>50</v>
      </c>
      <c r="G26">
        <v>90</v>
      </c>
      <c r="H26">
        <f>SIGN(F26*G26)*SUMIF(abaqus!A:A,CONCATENATE("=",ABS(F26)),abaqus!B:B)</f>
        <v>7.0685835749999999</v>
      </c>
      <c r="I26">
        <f>IF(D26="E",-H26,0)</f>
        <v>0</v>
      </c>
      <c r="J26">
        <f>IF(D26="F",H26,0)</f>
        <v>0</v>
      </c>
      <c r="K26">
        <f>IF(D26="D",H26,0)</f>
        <v>7.0685835749999999</v>
      </c>
      <c r="L26">
        <f>(I26+J26)*0.5*5.6/2</f>
        <v>0</v>
      </c>
      <c r="M26">
        <f>(I26-J26)/3.97/2*5.6/2</f>
        <v>0</v>
      </c>
      <c r="N26">
        <v>0</v>
      </c>
      <c r="O26">
        <v>0</v>
      </c>
      <c r="P26">
        <v>0</v>
      </c>
      <c r="Q26">
        <f>IF(D26="E",$H26*$E26/3.1415927*180+$AA$1,0)</f>
        <v>0</v>
      </c>
      <c r="R26">
        <f>IF(D26="F",$H26*$E26/3.1415927*180+$AA$1,0)</f>
        <v>0</v>
      </c>
      <c r="S26">
        <f>IF(D26="D",$H26*$E26/3.1415927*180+$AA$1,0)</f>
        <v>90</v>
      </c>
    </row>
    <row r="27" spans="1:19" x14ac:dyDescent="0.55000000000000004">
      <c r="A27">
        <v>0</v>
      </c>
      <c r="B27">
        <v>0</v>
      </c>
      <c r="C27">
        <v>0</v>
      </c>
      <c r="D27" t="s">
        <v>18</v>
      </c>
      <c r="E27">
        <f t="shared" ref="E27:E37" si="57">ABS(ABS(G27)/180*3.1415927/H27)</f>
        <v>0.22222222222222221</v>
      </c>
      <c r="F27">
        <f>F26</f>
        <v>50</v>
      </c>
      <c r="G27">
        <v>-90</v>
      </c>
      <c r="H27">
        <f>SIGN(F27*G27)*SUMIF(abaqus!A:A,CONCATENATE("=",ABS(F27)),abaqus!B:B)</f>
        <v>-7.0685835749999999</v>
      </c>
      <c r="I27">
        <f t="shared" ref="I27:I29" si="58">IF(D27="E",-H27,0)</f>
        <v>0</v>
      </c>
      <c r="J27">
        <f t="shared" ref="J27:J37" si="59">IF(D27="F",H27,0)</f>
        <v>0</v>
      </c>
      <c r="K27">
        <f t="shared" ref="K27:K37" si="60">IF(D27="D",H27,0)</f>
        <v>-7.0685835749999999</v>
      </c>
      <c r="L27">
        <f t="shared" ref="L27:L37" si="61">(I27+J27)*0.5*5.6/2</f>
        <v>0</v>
      </c>
      <c r="M27">
        <f t="shared" ref="M27:M37" si="62">(I27-J27)/3.97/2*5.6/2</f>
        <v>0</v>
      </c>
      <c r="N27">
        <v>0</v>
      </c>
      <c r="O27">
        <v>0</v>
      </c>
      <c r="P27">
        <v>0</v>
      </c>
      <c r="Q27">
        <f t="shared" ref="Q27:Q37" si="63">IF(D27="E",$H27*$E27/3.1415927*180+$AA$1,0)</f>
        <v>0</v>
      </c>
      <c r="R27">
        <f t="shared" ref="R27:R37" si="64">IF(D27="F",$H27*$E27/3.1415927*180+$AA$1,0)</f>
        <v>0</v>
      </c>
      <c r="S27">
        <f t="shared" ref="S27:S37" si="65">IF(D27="D",$H27*$E27/3.1415927*180+$AA$1,0)</f>
        <v>-90</v>
      </c>
    </row>
    <row r="28" spans="1:19" x14ac:dyDescent="0.55000000000000004">
      <c r="A28">
        <v>0</v>
      </c>
      <c r="B28">
        <v>0</v>
      </c>
      <c r="C28">
        <v>0</v>
      </c>
      <c r="D28" t="s">
        <v>18</v>
      </c>
      <c r="E28">
        <f t="shared" si="57"/>
        <v>0.22222222222222221</v>
      </c>
      <c r="F28">
        <f>-F27</f>
        <v>-50</v>
      </c>
      <c r="G28">
        <v>90</v>
      </c>
      <c r="H28">
        <f>SIGN(F28*G28)*SUMIF(abaqus!A:A,CONCATENATE("=",ABS(F28)),abaqus!B:B)</f>
        <v>-7.0685835749999999</v>
      </c>
      <c r="I28">
        <f t="shared" si="58"/>
        <v>0</v>
      </c>
      <c r="J28">
        <f t="shared" si="59"/>
        <v>0</v>
      </c>
      <c r="K28">
        <f t="shared" si="60"/>
        <v>-7.0685835749999999</v>
      </c>
      <c r="L28">
        <f t="shared" si="61"/>
        <v>0</v>
      </c>
      <c r="M28">
        <f t="shared" si="62"/>
        <v>0</v>
      </c>
      <c r="N28">
        <v>0</v>
      </c>
      <c r="O28">
        <v>0</v>
      </c>
      <c r="P28">
        <v>0</v>
      </c>
      <c r="Q28">
        <f t="shared" si="63"/>
        <v>0</v>
      </c>
      <c r="R28">
        <f t="shared" si="64"/>
        <v>0</v>
      </c>
      <c r="S28">
        <f t="shared" si="65"/>
        <v>-90</v>
      </c>
    </row>
    <row r="29" spans="1:19" x14ac:dyDescent="0.55000000000000004">
      <c r="A29">
        <v>0</v>
      </c>
      <c r="B29">
        <v>0</v>
      </c>
      <c r="C29">
        <v>0</v>
      </c>
      <c r="D29" t="s">
        <v>18</v>
      </c>
      <c r="E29">
        <f t="shared" si="57"/>
        <v>0.22222222222222221</v>
      </c>
      <c r="F29">
        <f>F28</f>
        <v>-50</v>
      </c>
      <c r="G29">
        <v>-90</v>
      </c>
      <c r="H29">
        <f>SIGN(F29*G29)*SUMIF(abaqus!A:A,CONCATENATE("=",ABS(F29)),abaqus!B:B)</f>
        <v>7.0685835749999999</v>
      </c>
      <c r="I29">
        <f t="shared" si="58"/>
        <v>0</v>
      </c>
      <c r="J29">
        <f t="shared" si="59"/>
        <v>0</v>
      </c>
      <c r="K29">
        <f t="shared" si="60"/>
        <v>7.0685835749999999</v>
      </c>
      <c r="L29">
        <f t="shared" si="61"/>
        <v>0</v>
      </c>
      <c r="M29">
        <f t="shared" si="62"/>
        <v>0</v>
      </c>
      <c r="N29">
        <v>0</v>
      </c>
      <c r="O29">
        <v>0</v>
      </c>
      <c r="P29">
        <v>0</v>
      </c>
      <c r="Q29">
        <f t="shared" si="63"/>
        <v>0</v>
      </c>
      <c r="R29">
        <f t="shared" si="64"/>
        <v>0</v>
      </c>
      <c r="S29">
        <f t="shared" si="65"/>
        <v>90</v>
      </c>
    </row>
    <row r="30" spans="1:19" x14ac:dyDescent="0.55000000000000004">
      <c r="A30">
        <v>0</v>
      </c>
      <c r="B30">
        <v>0</v>
      </c>
      <c r="C30">
        <v>0</v>
      </c>
      <c r="D30" t="s">
        <v>18</v>
      </c>
      <c r="E30">
        <f>ABS(ABS(G30)/180*3.1415927/H30)</f>
        <v>0.1111111111111111</v>
      </c>
      <c r="F30">
        <f>-F29</f>
        <v>50</v>
      </c>
      <c r="G30">
        <v>45</v>
      </c>
      <c r="H30">
        <f>SIGN(F30*G30)*SUMIF(abaqus!A:A,CONCATENATE("=",ABS(F30)),abaqus!B:B)</f>
        <v>7.0685835749999999</v>
      </c>
      <c r="I30">
        <f>IF(D30="E",-H30,0)</f>
        <v>0</v>
      </c>
      <c r="J30">
        <f>IF(D30="F",H30,0)</f>
        <v>0</v>
      </c>
      <c r="K30">
        <f>IF(D30="D",H30,0)</f>
        <v>7.0685835749999999</v>
      </c>
      <c r="L30">
        <f>(I30+J30)*0.5*5.6/2</f>
        <v>0</v>
      </c>
      <c r="M30">
        <f>(I30-J30)/3.97/2*5.6/2</f>
        <v>0</v>
      </c>
      <c r="N30">
        <v>0</v>
      </c>
      <c r="O30">
        <v>0</v>
      </c>
      <c r="P30">
        <v>0</v>
      </c>
      <c r="Q30">
        <f>IF(D30="E",$H30*$E30/3.1415927*180+$AA$1,0)</f>
        <v>0</v>
      </c>
      <c r="R30">
        <f>IF(D30="F",$H30*$E30/3.1415927*180+$AA$1,0)</f>
        <v>0</v>
      </c>
      <c r="S30">
        <f>IF(D30="D",$H30*$E30/3.1415927*180+$AA$1,0)</f>
        <v>45</v>
      </c>
    </row>
    <row r="31" spans="1:19" x14ac:dyDescent="0.55000000000000004">
      <c r="A31">
        <v>0</v>
      </c>
      <c r="B31">
        <v>0</v>
      </c>
      <c r="C31">
        <v>0</v>
      </c>
      <c r="D31" t="s">
        <v>18</v>
      </c>
      <c r="E31">
        <f t="shared" ref="E31:E33" si="66">ABS(ABS(G31)/180*3.1415927/H31)</f>
        <v>0.1111111111111111</v>
      </c>
      <c r="F31">
        <f>F30</f>
        <v>50</v>
      </c>
      <c r="G31">
        <f>-G30</f>
        <v>-45</v>
      </c>
      <c r="H31">
        <f>SIGN(F31*G31)*SUMIF(abaqus!A:A,CONCATENATE("=",ABS(F31)),abaqus!B:B)</f>
        <v>-7.0685835749999999</v>
      </c>
      <c r="I31">
        <f t="shared" ref="I31:I33" si="67">IF(D31="E",-H31,0)</f>
        <v>0</v>
      </c>
      <c r="J31">
        <f t="shared" ref="J31:J33" si="68">IF(D31="F",H31,0)</f>
        <v>0</v>
      </c>
      <c r="K31">
        <f t="shared" ref="K31:K33" si="69">IF(D31="D",H31,0)</f>
        <v>-7.0685835749999999</v>
      </c>
      <c r="L31">
        <f t="shared" ref="L31:L33" si="70">(I31+J31)*0.5*5.6/2</f>
        <v>0</v>
      </c>
      <c r="M31">
        <f t="shared" ref="M31:M33" si="71">(I31-J31)/3.97/2*5.6/2</f>
        <v>0</v>
      </c>
      <c r="N31">
        <v>0</v>
      </c>
      <c r="O31">
        <v>0</v>
      </c>
      <c r="P31">
        <v>0</v>
      </c>
      <c r="Q31">
        <f t="shared" ref="Q31:Q33" si="72">IF(D31="E",$H31*$E31/3.1415927*180+$AA$1,0)</f>
        <v>0</v>
      </c>
      <c r="R31">
        <f t="shared" ref="R31:R33" si="73">IF(D31="F",$H31*$E31/3.1415927*180+$AA$1,0)</f>
        <v>0</v>
      </c>
      <c r="S31">
        <f t="shared" ref="S31:S33" si="74">IF(D31="D",$H31*$E31/3.1415927*180+$AA$1,0)</f>
        <v>-45</v>
      </c>
    </row>
    <row r="32" spans="1:19" x14ac:dyDescent="0.55000000000000004">
      <c r="A32">
        <v>0</v>
      </c>
      <c r="B32">
        <v>0</v>
      </c>
      <c r="C32">
        <v>0</v>
      </c>
      <c r="D32" t="s">
        <v>18</v>
      </c>
      <c r="E32">
        <f t="shared" si="66"/>
        <v>0.1111111111111111</v>
      </c>
      <c r="F32">
        <f>-F31</f>
        <v>-50</v>
      </c>
      <c r="G32">
        <f>-G31</f>
        <v>45</v>
      </c>
      <c r="H32">
        <f>SIGN(F32*G32)*SUMIF(abaqus!A:A,CONCATENATE("=",ABS(F32)),abaqus!B:B)</f>
        <v>-7.0685835749999999</v>
      </c>
      <c r="I32">
        <f t="shared" si="67"/>
        <v>0</v>
      </c>
      <c r="J32">
        <f t="shared" si="68"/>
        <v>0</v>
      </c>
      <c r="K32">
        <f t="shared" si="69"/>
        <v>-7.0685835749999999</v>
      </c>
      <c r="L32">
        <f t="shared" si="70"/>
        <v>0</v>
      </c>
      <c r="M32">
        <f t="shared" si="71"/>
        <v>0</v>
      </c>
      <c r="N32">
        <v>0</v>
      </c>
      <c r="O32">
        <v>0</v>
      </c>
      <c r="P32">
        <v>0</v>
      </c>
      <c r="Q32">
        <f t="shared" si="72"/>
        <v>0</v>
      </c>
      <c r="R32">
        <f t="shared" si="73"/>
        <v>0</v>
      </c>
      <c r="S32">
        <f t="shared" si="74"/>
        <v>-45</v>
      </c>
    </row>
    <row r="33" spans="1:19" x14ac:dyDescent="0.55000000000000004">
      <c r="A33">
        <v>0</v>
      </c>
      <c r="B33">
        <v>0</v>
      </c>
      <c r="C33">
        <v>0</v>
      </c>
      <c r="D33" t="s">
        <v>18</v>
      </c>
      <c r="E33">
        <f t="shared" si="66"/>
        <v>0.1111111111111111</v>
      </c>
      <c r="F33">
        <f>F32</f>
        <v>-50</v>
      </c>
      <c r="G33">
        <f t="shared" ref="G33:G37" si="75">-G32</f>
        <v>-45</v>
      </c>
      <c r="H33">
        <f>SIGN(F33*G33)*SUMIF(abaqus!A:A,CONCATENATE("=",ABS(F33)),abaqus!B:B)</f>
        <v>7.0685835749999999</v>
      </c>
      <c r="I33">
        <f t="shared" si="67"/>
        <v>0</v>
      </c>
      <c r="J33">
        <f t="shared" si="68"/>
        <v>0</v>
      </c>
      <c r="K33">
        <f t="shared" si="69"/>
        <v>7.0685835749999999</v>
      </c>
      <c r="L33">
        <f t="shared" si="70"/>
        <v>0</v>
      </c>
      <c r="M33">
        <f t="shared" si="71"/>
        <v>0</v>
      </c>
      <c r="N33">
        <v>0</v>
      </c>
      <c r="O33">
        <v>0</v>
      </c>
      <c r="P33">
        <v>0</v>
      </c>
      <c r="Q33">
        <f t="shared" si="72"/>
        <v>0</v>
      </c>
      <c r="R33">
        <f t="shared" si="73"/>
        <v>0</v>
      </c>
      <c r="S33">
        <f t="shared" si="74"/>
        <v>45</v>
      </c>
    </row>
    <row r="34" spans="1:19" x14ac:dyDescent="0.55000000000000004">
      <c r="A34">
        <v>0</v>
      </c>
      <c r="B34">
        <v>0</v>
      </c>
      <c r="C34">
        <v>0</v>
      </c>
      <c r="D34" t="s">
        <v>18</v>
      </c>
      <c r="E34">
        <f>ABS(ABS(G34)/180*3.1415927/H34)</f>
        <v>0.48148148148148145</v>
      </c>
      <c r="F34">
        <v>50</v>
      </c>
      <c r="G34">
        <v>195</v>
      </c>
      <c r="H34">
        <f>SIGN(F34*G34)*SUMIF(abaqus!A:A,CONCATENATE("=",ABS(F34)),abaqus!B:B)</f>
        <v>7.0685835749999999</v>
      </c>
      <c r="I34">
        <f>IF(D34="E",-H34,0)</f>
        <v>0</v>
      </c>
      <c r="J34">
        <f>IF(D34="F",H34,0)</f>
        <v>0</v>
      </c>
      <c r="K34">
        <f>IF(D34="D",H34,0)</f>
        <v>7.0685835749999999</v>
      </c>
      <c r="L34">
        <f>(I34+J34)*0.5*5.6/2</f>
        <v>0</v>
      </c>
      <c r="M34">
        <f>(I34-J34)/3.97/2*5.6/2</f>
        <v>0</v>
      </c>
      <c r="N34">
        <v>0</v>
      </c>
      <c r="O34">
        <v>0</v>
      </c>
      <c r="P34">
        <v>0</v>
      </c>
      <c r="Q34">
        <f>IF(D34="E",$H34*$E34/3.1415927*180+$AA$1,0)</f>
        <v>0</v>
      </c>
      <c r="R34">
        <f>IF(D34="F",$H34*$E34/3.1415927*180+$AA$1,0)</f>
        <v>0</v>
      </c>
      <c r="S34">
        <f>IF(D34="D",$H34*$E34/3.1415927*180+$AA$1,0)</f>
        <v>195</v>
      </c>
    </row>
    <row r="35" spans="1:19" x14ac:dyDescent="0.55000000000000004">
      <c r="A35">
        <v>0</v>
      </c>
      <c r="B35">
        <v>0</v>
      </c>
      <c r="C35">
        <v>0</v>
      </c>
      <c r="D35" t="s">
        <v>18</v>
      </c>
      <c r="E35">
        <f t="shared" ref="E35:E37" si="76">ABS(ABS(G35)/180*3.1415927/H35)</f>
        <v>0.48148148148148145</v>
      </c>
      <c r="F35">
        <f>F34</f>
        <v>50</v>
      </c>
      <c r="G35">
        <f t="shared" ref="G35:G37" si="77">-G34</f>
        <v>-195</v>
      </c>
      <c r="H35">
        <f>SIGN(F35*G35)*SUMIF(abaqus!A:A,CONCATENATE("=",ABS(F35)),abaqus!B:B)</f>
        <v>-7.0685835749999999</v>
      </c>
      <c r="I35">
        <f t="shared" ref="I35:I37" si="78">IF(D35="E",-H35,0)</f>
        <v>0</v>
      </c>
      <c r="J35">
        <f t="shared" ref="J35:J37" si="79">IF(D35="F",H35,0)</f>
        <v>0</v>
      </c>
      <c r="K35">
        <f t="shared" ref="K35:K37" si="80">IF(D35="D",H35,0)</f>
        <v>-7.0685835749999999</v>
      </c>
      <c r="L35">
        <f t="shared" ref="L35:L37" si="81">(I35+J35)*0.5*5.6/2</f>
        <v>0</v>
      </c>
      <c r="M35">
        <f t="shared" ref="M35:M37" si="82">(I35-J35)/3.97/2*5.6/2</f>
        <v>0</v>
      </c>
      <c r="N35">
        <v>0</v>
      </c>
      <c r="O35">
        <v>0</v>
      </c>
      <c r="P35">
        <v>0</v>
      </c>
      <c r="Q35">
        <f t="shared" ref="Q35:Q37" si="83">IF(D35="E",$H35*$E35/3.1415927*180+$AA$1,0)</f>
        <v>0</v>
      </c>
      <c r="R35">
        <f t="shared" ref="R35:R37" si="84">IF(D35="F",$H35*$E35/3.1415927*180+$AA$1,0)</f>
        <v>0</v>
      </c>
      <c r="S35">
        <f t="shared" ref="S35:S37" si="85">IF(D35="D",$H35*$E35/3.1415927*180+$AA$1,0)</f>
        <v>-195</v>
      </c>
    </row>
    <row r="36" spans="1:19" x14ac:dyDescent="0.55000000000000004">
      <c r="A36">
        <v>0</v>
      </c>
      <c r="B36">
        <v>0</v>
      </c>
      <c r="C36">
        <v>0</v>
      </c>
      <c r="D36" t="s">
        <v>18</v>
      </c>
      <c r="E36">
        <f t="shared" si="76"/>
        <v>0.48148148148148145</v>
      </c>
      <c r="F36">
        <f>-F35</f>
        <v>-50</v>
      </c>
      <c r="G36">
        <f t="shared" si="77"/>
        <v>195</v>
      </c>
      <c r="H36">
        <f>SIGN(F36*G36)*SUMIF(abaqus!A:A,CONCATENATE("=",ABS(F36)),abaqus!B:B)</f>
        <v>-7.0685835749999999</v>
      </c>
      <c r="I36">
        <f t="shared" si="78"/>
        <v>0</v>
      </c>
      <c r="J36">
        <f t="shared" si="79"/>
        <v>0</v>
      </c>
      <c r="K36">
        <f t="shared" si="80"/>
        <v>-7.0685835749999999</v>
      </c>
      <c r="L36">
        <f t="shared" si="81"/>
        <v>0</v>
      </c>
      <c r="M36">
        <f t="shared" si="82"/>
        <v>0</v>
      </c>
      <c r="N36">
        <v>0</v>
      </c>
      <c r="O36">
        <v>0</v>
      </c>
      <c r="P36">
        <v>0</v>
      </c>
      <c r="Q36">
        <f t="shared" si="83"/>
        <v>0</v>
      </c>
      <c r="R36">
        <f t="shared" si="84"/>
        <v>0</v>
      </c>
      <c r="S36">
        <f t="shared" si="85"/>
        <v>-195</v>
      </c>
    </row>
    <row r="37" spans="1:19" x14ac:dyDescent="0.55000000000000004">
      <c r="A37">
        <v>0</v>
      </c>
      <c r="B37">
        <v>0</v>
      </c>
      <c r="C37">
        <v>0</v>
      </c>
      <c r="D37" t="s">
        <v>18</v>
      </c>
      <c r="E37">
        <f t="shared" si="76"/>
        <v>0.48148148148148145</v>
      </c>
      <c r="F37">
        <f>F36</f>
        <v>-50</v>
      </c>
      <c r="G37">
        <f t="shared" si="77"/>
        <v>-195</v>
      </c>
      <c r="H37">
        <f>SIGN(F37*G37)*SUMIF(abaqus!A:A,CONCATENATE("=",ABS(F37)),abaqus!B:B)</f>
        <v>7.0685835749999999</v>
      </c>
      <c r="I37">
        <f t="shared" si="78"/>
        <v>0</v>
      </c>
      <c r="J37">
        <f t="shared" si="79"/>
        <v>0</v>
      </c>
      <c r="K37">
        <f t="shared" si="80"/>
        <v>7.0685835749999999</v>
      </c>
      <c r="L37">
        <f t="shared" si="81"/>
        <v>0</v>
      </c>
      <c r="M37">
        <f t="shared" si="82"/>
        <v>0</v>
      </c>
      <c r="N37">
        <v>0</v>
      </c>
      <c r="O37">
        <v>0</v>
      </c>
      <c r="P37">
        <v>0</v>
      </c>
      <c r="Q37">
        <f t="shared" si="83"/>
        <v>0</v>
      </c>
      <c r="R37">
        <f t="shared" si="84"/>
        <v>0</v>
      </c>
      <c r="S37">
        <f t="shared" si="85"/>
        <v>195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74A63-6537-49FE-BC21-30FBE93FEA41}">
  <sheetPr codeName="Sheet9"/>
  <dimension ref="A1:V37"/>
  <sheetViews>
    <sheetView topLeftCell="G1" zoomScale="83" zoomScaleNormal="83" workbookViewId="0">
      <selection activeCell="Z6" sqref="Z6"/>
    </sheetView>
  </sheetViews>
  <sheetFormatPr defaultRowHeight="14.4" x14ac:dyDescent="0.55000000000000004"/>
  <cols>
    <col min="5" max="5" width="11.578125" bestFit="1" customWidth="1"/>
    <col min="10" max="14" width="10.734375" customWidth="1"/>
    <col min="17" max="17" width="10.7890625" customWidth="1"/>
  </cols>
  <sheetData>
    <row r="1" spans="1:22" x14ac:dyDescent="0.55000000000000004">
      <c r="A1" t="s">
        <v>1</v>
      </c>
      <c r="B1" t="s">
        <v>2</v>
      </c>
      <c r="C1" t="s">
        <v>3</v>
      </c>
      <c r="D1" t="s">
        <v>22</v>
      </c>
      <c r="E1" t="s">
        <v>12</v>
      </c>
      <c r="F1" t="s">
        <v>11</v>
      </c>
      <c r="G1" t="s">
        <v>23</v>
      </c>
      <c r="H1" t="s">
        <v>28</v>
      </c>
      <c r="I1" t="s">
        <v>29</v>
      </c>
      <c r="J1" t="s">
        <v>30</v>
      </c>
      <c r="K1" t="s">
        <v>31</v>
      </c>
      <c r="L1" t="s">
        <v>14</v>
      </c>
      <c r="M1" t="s">
        <v>15</v>
      </c>
      <c r="N1" t="s">
        <v>10</v>
      </c>
      <c r="O1" t="s">
        <v>8</v>
      </c>
      <c r="P1" t="s">
        <v>9</v>
      </c>
      <c r="Q1" t="s">
        <v>25</v>
      </c>
      <c r="R1" t="s">
        <v>26</v>
      </c>
      <c r="S1" t="s">
        <v>27</v>
      </c>
    </row>
    <row r="2" spans="1:22" x14ac:dyDescent="0.55000000000000004">
      <c r="A2">
        <v>0</v>
      </c>
      <c r="B2">
        <v>0</v>
      </c>
      <c r="C2">
        <v>0</v>
      </c>
      <c r="D2" t="s">
        <v>0</v>
      </c>
      <c r="E2">
        <f>G2/180*3.1415927/H2</f>
        <v>0.96296296296296291</v>
      </c>
      <c r="F2">
        <v>50</v>
      </c>
      <c r="G2">
        <v>390</v>
      </c>
      <c r="H2">
        <f>SIGN(G2)*SUMIF(abaqus!A:A,CONCATENATE("=",ABS(F2)),abaqus!B:B)</f>
        <v>7.0685835749999999</v>
      </c>
      <c r="I2">
        <f>IF(D2="E",-H2,0)</f>
        <v>-7.0685835749999999</v>
      </c>
      <c r="J2">
        <f>IF(D2="F",H2,0)</f>
        <v>0</v>
      </c>
      <c r="K2">
        <f>IF(D2="D",H2,0)</f>
        <v>0</v>
      </c>
      <c r="L2">
        <f>(I2+J2)*0.5*5.6/2</f>
        <v>-9.8960170049999991</v>
      </c>
      <c r="M2">
        <f>(I2-J2)/3.97/2*5.6/2</f>
        <v>-2.4926994974811079</v>
      </c>
      <c r="N2">
        <v>-137.53148614610421</v>
      </c>
      <c r="O2">
        <v>-2.6804860859764323</v>
      </c>
      <c r="P2">
        <v>6.8984669843007911</v>
      </c>
      <c r="Q2">
        <f>IF(D2="E",$H2*$E2/3.1415927*180+$AA$1,0)</f>
        <v>390</v>
      </c>
      <c r="R2">
        <f>IF(D2="F",$H2*$E2/3.1415927*180+$AA$1,0)</f>
        <v>0</v>
      </c>
      <c r="S2">
        <f>IF(D2="D",$H2*$E2/3.1415927*180+$AA$1,0)</f>
        <v>0</v>
      </c>
    </row>
    <row r="3" spans="1:22" x14ac:dyDescent="0.55000000000000004">
      <c r="A3">
        <v>0</v>
      </c>
      <c r="B3">
        <v>0</v>
      </c>
      <c r="C3">
        <v>0</v>
      </c>
      <c r="D3" t="s">
        <v>0</v>
      </c>
      <c r="E3">
        <f t="shared" ref="E3:E37" si="0">ABS(ABS(G3)/180*3.1415927/H3)</f>
        <v>0.96296296296296291</v>
      </c>
      <c r="F3">
        <f>F2</f>
        <v>50</v>
      </c>
      <c r="G3">
        <v>-390</v>
      </c>
      <c r="H3">
        <f>SIGN(G3)*SUMIF(abaqus!A:A,CONCATENATE("=",ABS(F3)),abaqus!B:B)</f>
        <v>-7.0685835749999999</v>
      </c>
      <c r="I3">
        <f t="shared" ref="I3:I5" si="1">IF(D3="E",-H3,0)</f>
        <v>7.0685835749999999</v>
      </c>
      <c r="J3">
        <f t="shared" ref="J3:J37" si="2">IF(D3="F",H3,0)</f>
        <v>0</v>
      </c>
      <c r="K3">
        <f t="shared" ref="K3:K37" si="3">IF(D3="D",H3,0)</f>
        <v>0</v>
      </c>
      <c r="L3">
        <f t="shared" ref="L3:L37" si="4">(I3+J3)*0.5*5.6/2</f>
        <v>9.8960170049999991</v>
      </c>
      <c r="M3">
        <f t="shared" ref="M3:M37" si="5">(I3-J3)/3.97/2*5.6/2</f>
        <v>2.4926994974811079</v>
      </c>
      <c r="N3">
        <v>137.53148614610421</v>
      </c>
      <c r="O3">
        <v>2.6804860859764323</v>
      </c>
      <c r="P3">
        <v>6.8984669843007911</v>
      </c>
      <c r="Q3">
        <f>IF(D3="E",$H3*$E3/3.1415927*180+$AA$1,0)</f>
        <v>-390</v>
      </c>
      <c r="R3">
        <f t="shared" ref="R3:R37" si="6">IF(D3="F",$H3*$E3/3.1415927*180+$AA$1,0)</f>
        <v>0</v>
      </c>
      <c r="S3">
        <f t="shared" ref="S3:S37" si="7">IF(D3="D",$H3*$E3/3.1415927*180+$AA$1,0)</f>
        <v>0</v>
      </c>
    </row>
    <row r="4" spans="1:22" x14ac:dyDescent="0.55000000000000004">
      <c r="A4">
        <v>0</v>
      </c>
      <c r="B4">
        <v>0</v>
      </c>
      <c r="C4">
        <v>0</v>
      </c>
      <c r="D4" t="s">
        <v>0</v>
      </c>
      <c r="E4">
        <f t="shared" si="0"/>
        <v>0.96296296296296291</v>
      </c>
      <c r="F4">
        <f>-F3</f>
        <v>-50</v>
      </c>
      <c r="G4">
        <v>390</v>
      </c>
      <c r="H4">
        <f>SIGN(G4)*SUMIF(abaqus!A:A,CONCATENATE("=",ABS(F4)),abaqus!B:B)</f>
        <v>7.0685835749999999</v>
      </c>
      <c r="I4">
        <f t="shared" si="1"/>
        <v>-7.0685835749999999</v>
      </c>
      <c r="J4">
        <f t="shared" si="2"/>
        <v>0</v>
      </c>
      <c r="K4">
        <f t="shared" si="3"/>
        <v>0</v>
      </c>
      <c r="L4">
        <f t="shared" si="4"/>
        <v>-9.8960170049999991</v>
      </c>
      <c r="M4">
        <f t="shared" si="5"/>
        <v>-2.4926994974811079</v>
      </c>
      <c r="N4">
        <v>-137.53148614610421</v>
      </c>
      <c r="O4">
        <v>-2.6804860859764323</v>
      </c>
      <c r="P4">
        <v>6.8984669843007911</v>
      </c>
      <c r="Q4">
        <f t="shared" ref="Q4:Q38" si="8">IF(D4="E",$H4*$E4/3.1415927*180+$AA$1,0)</f>
        <v>390</v>
      </c>
      <c r="R4">
        <f t="shared" si="6"/>
        <v>0</v>
      </c>
      <c r="S4">
        <f t="shared" si="7"/>
        <v>0</v>
      </c>
      <c r="U4">
        <f>1021/180*3.1415927</f>
        <v>17.819811926111111</v>
      </c>
      <c r="V4">
        <f>U4/H2</f>
        <v>2.5209876543209875</v>
      </c>
    </row>
    <row r="5" spans="1:22" x14ac:dyDescent="0.55000000000000004">
      <c r="A5">
        <v>0</v>
      </c>
      <c r="B5">
        <v>0</v>
      </c>
      <c r="C5">
        <v>0</v>
      </c>
      <c r="D5" t="s">
        <v>0</v>
      </c>
      <c r="E5">
        <f t="shared" si="0"/>
        <v>0.96296296296296291</v>
      </c>
      <c r="F5">
        <f>F4</f>
        <v>-50</v>
      </c>
      <c r="G5">
        <v>-390</v>
      </c>
      <c r="H5">
        <f>SIGN(G5)*SUMIF(abaqus!A:A,CONCATENATE("=",ABS(F5)),abaqus!B:B)</f>
        <v>-7.0685835749999999</v>
      </c>
      <c r="I5">
        <f t="shared" si="1"/>
        <v>7.0685835749999999</v>
      </c>
      <c r="J5">
        <f t="shared" si="2"/>
        <v>0</v>
      </c>
      <c r="K5">
        <f t="shared" si="3"/>
        <v>0</v>
      </c>
      <c r="L5">
        <f t="shared" si="4"/>
        <v>9.8960170049999991</v>
      </c>
      <c r="M5">
        <f t="shared" si="5"/>
        <v>2.4926994974811079</v>
      </c>
      <c r="N5">
        <v>137.53148614610421</v>
      </c>
      <c r="O5">
        <v>2.6804860859764323</v>
      </c>
      <c r="P5">
        <v>6.8984669843007911</v>
      </c>
      <c r="Q5">
        <f t="shared" si="8"/>
        <v>-390</v>
      </c>
      <c r="R5">
        <f t="shared" si="6"/>
        <v>0</v>
      </c>
      <c r="S5">
        <f t="shared" si="7"/>
        <v>0</v>
      </c>
      <c r="V5">
        <f>V4/0.02</f>
        <v>126.04938271604937</v>
      </c>
    </row>
    <row r="6" spans="1:22" x14ac:dyDescent="0.55000000000000004">
      <c r="A6">
        <v>0</v>
      </c>
      <c r="B6">
        <v>0</v>
      </c>
      <c r="C6">
        <v>0</v>
      </c>
      <c r="D6" t="s">
        <v>0</v>
      </c>
      <c r="E6">
        <f>ABS(ABS(G6)/180*3.1415927/H6)</f>
        <v>1.0987654320987654</v>
      </c>
      <c r="F6">
        <f>-F5</f>
        <v>50</v>
      </c>
      <c r="G6">
        <v>445</v>
      </c>
      <c r="H6">
        <f>SIGN(G6)*SUMIF(abaqus!A:A,CONCATENATE("=",ABS(F6)),abaqus!B:B)</f>
        <v>7.0685835749999999</v>
      </c>
      <c r="I6">
        <f>IF(D6="E",-H6,0)</f>
        <v>-7.0685835749999999</v>
      </c>
      <c r="J6">
        <f>IF(D6="F",H6,0)</f>
        <v>0</v>
      </c>
      <c r="K6">
        <f>IF(D6="D",H6,0)</f>
        <v>0</v>
      </c>
      <c r="L6">
        <f>(I6+J6)*0.5*5.6/2</f>
        <v>-9.8960170049999991</v>
      </c>
      <c r="M6">
        <f>(I6-J6)/3.97/2*5.6/2</f>
        <v>-2.4926994974811079</v>
      </c>
      <c r="N6">
        <v>-156.9269521410711</v>
      </c>
      <c r="O6">
        <v>-1.5558607058722049</v>
      </c>
      <c r="P6">
        <v>7.6224249863402598</v>
      </c>
      <c r="Q6">
        <f>IF(D6="E",$H6*$E6/3.1415927*180+$AA$1,0)</f>
        <v>445</v>
      </c>
      <c r="R6">
        <f>IF(D6="F",$H6*$E6/3.1415927*180+$AA$1,0)</f>
        <v>0</v>
      </c>
      <c r="S6">
        <f>IF(D6="D",$H6*$E6/3.1415927*180+$AA$1,0)</f>
        <v>0</v>
      </c>
    </row>
    <row r="7" spans="1:22" x14ac:dyDescent="0.55000000000000004">
      <c r="A7">
        <v>0</v>
      </c>
      <c r="B7">
        <v>0</v>
      </c>
      <c r="C7">
        <v>0</v>
      </c>
      <c r="D7" t="s">
        <v>0</v>
      </c>
      <c r="E7">
        <f t="shared" ref="E7:E9" si="9">ABS(ABS(G7)/180*3.1415927/H7)</f>
        <v>1.0987654320987654</v>
      </c>
      <c r="F7">
        <f>F6</f>
        <v>50</v>
      </c>
      <c r="G7">
        <f>G6</f>
        <v>445</v>
      </c>
      <c r="H7">
        <f>SIGN(G7)*SUMIF(abaqus!A:A,CONCATENATE("=",ABS(F7)),abaqus!B:B)</f>
        <v>7.0685835749999999</v>
      </c>
      <c r="I7">
        <f t="shared" ref="I7:I9" si="10">IF(D7="E",-H7,0)</f>
        <v>-7.0685835749999999</v>
      </c>
      <c r="J7">
        <f t="shared" ref="J7:J9" si="11">IF(D7="F",H7,0)</f>
        <v>0</v>
      </c>
      <c r="K7">
        <f t="shared" ref="K7:K9" si="12">IF(D7="D",H7,0)</f>
        <v>0</v>
      </c>
      <c r="L7">
        <f t="shared" ref="L7:L9" si="13">(I7+J7)*0.5*5.6/2</f>
        <v>-9.8960170049999991</v>
      </c>
      <c r="M7">
        <f t="shared" ref="M7:M9" si="14">(I7-J7)/3.97/2*5.6/2</f>
        <v>-2.4926994974811079</v>
      </c>
      <c r="N7">
        <v>-156.9269521410711</v>
      </c>
      <c r="O7">
        <v>-1.5558607058722049</v>
      </c>
      <c r="P7">
        <v>7.6224249863402598</v>
      </c>
      <c r="Q7">
        <f t="shared" ref="Q7:Q9" si="15">IF(D7="E",$H7*$E7/3.1415927*180+$AA$1,0)</f>
        <v>445</v>
      </c>
      <c r="R7">
        <f t="shared" ref="R7:R9" si="16">IF(D7="F",$H7*$E7/3.1415927*180+$AA$1,0)</f>
        <v>0</v>
      </c>
      <c r="S7">
        <f t="shared" ref="S7:S9" si="17">IF(D7="D",$H7*$E7/3.1415927*180+$AA$1,0)</f>
        <v>0</v>
      </c>
    </row>
    <row r="8" spans="1:22" x14ac:dyDescent="0.55000000000000004">
      <c r="A8">
        <v>0</v>
      </c>
      <c r="B8">
        <v>0</v>
      </c>
      <c r="C8">
        <v>0</v>
      </c>
      <c r="D8" t="s">
        <v>0</v>
      </c>
      <c r="E8">
        <f t="shared" si="9"/>
        <v>1.0987654320987654</v>
      </c>
      <c r="F8">
        <f>-F7</f>
        <v>-50</v>
      </c>
      <c r="G8">
        <f>-G7</f>
        <v>-445</v>
      </c>
      <c r="H8">
        <f>SIGN(G8)*SUMIF(abaqus!A:A,CONCATENATE("=",ABS(F8)),abaqus!B:B)</f>
        <v>-7.0685835749999999</v>
      </c>
      <c r="I8">
        <f t="shared" si="10"/>
        <v>7.0685835749999999</v>
      </c>
      <c r="J8">
        <f t="shared" si="11"/>
        <v>0</v>
      </c>
      <c r="K8">
        <f t="shared" si="12"/>
        <v>0</v>
      </c>
      <c r="L8">
        <f t="shared" si="13"/>
        <v>9.8960170049999991</v>
      </c>
      <c r="M8">
        <f t="shared" si="14"/>
        <v>2.4926994974811079</v>
      </c>
      <c r="N8">
        <v>156.9269521410711</v>
      </c>
      <c r="O8">
        <v>1.5558607058722049</v>
      </c>
      <c r="P8">
        <v>7.6224249863402598</v>
      </c>
      <c r="Q8">
        <f t="shared" si="15"/>
        <v>-445</v>
      </c>
      <c r="R8">
        <f t="shared" si="16"/>
        <v>0</v>
      </c>
      <c r="S8">
        <f t="shared" si="17"/>
        <v>0</v>
      </c>
    </row>
    <row r="9" spans="1:22" x14ac:dyDescent="0.55000000000000004">
      <c r="A9">
        <v>0</v>
      </c>
      <c r="B9">
        <v>0</v>
      </c>
      <c r="C9">
        <v>0</v>
      </c>
      <c r="D9" t="s">
        <v>0</v>
      </c>
      <c r="E9">
        <f t="shared" si="9"/>
        <v>1.0987654320987654</v>
      </c>
      <c r="F9">
        <f>F8</f>
        <v>-50</v>
      </c>
      <c r="G9">
        <f t="shared" ref="G9:G17" si="18">-G8</f>
        <v>445</v>
      </c>
      <c r="H9">
        <f>SIGN(G9)*SUMIF(abaqus!A:A,CONCATENATE("=",ABS(F9)),abaqus!B:B)</f>
        <v>7.0685835749999999</v>
      </c>
      <c r="I9">
        <f t="shared" si="10"/>
        <v>-7.0685835749999999</v>
      </c>
      <c r="J9">
        <f t="shared" si="11"/>
        <v>0</v>
      </c>
      <c r="K9">
        <f t="shared" si="12"/>
        <v>0</v>
      </c>
      <c r="L9">
        <f t="shared" si="13"/>
        <v>-9.8960170049999991</v>
      </c>
      <c r="M9">
        <f t="shared" si="14"/>
        <v>-2.4926994974811079</v>
      </c>
      <c r="N9">
        <v>-156.9269521410711</v>
      </c>
      <c r="O9">
        <v>-1.5558607058722049</v>
      </c>
      <c r="P9">
        <v>7.6224249863402598</v>
      </c>
      <c r="Q9">
        <f t="shared" si="15"/>
        <v>445</v>
      </c>
      <c r="R9">
        <f t="shared" si="16"/>
        <v>0</v>
      </c>
      <c r="S9">
        <f t="shared" si="17"/>
        <v>0</v>
      </c>
    </row>
    <row r="10" spans="1:22" x14ac:dyDescent="0.55000000000000004">
      <c r="A10">
        <v>0</v>
      </c>
      <c r="B10">
        <v>0</v>
      </c>
      <c r="C10">
        <v>0</v>
      </c>
      <c r="D10" t="s">
        <v>0</v>
      </c>
      <c r="E10">
        <f>ABS(ABS(G10)/180*3.1415927/H10)</f>
        <v>2.4197530864197527</v>
      </c>
      <c r="F10">
        <v>50</v>
      </c>
      <c r="G10">
        <v>980</v>
      </c>
      <c r="H10">
        <f>SIGN(G10)*SUMIF(abaqus!A:A,CONCATENATE("=",ABS(F10)),abaqus!B:B)</f>
        <v>7.0685835749999999</v>
      </c>
      <c r="I10">
        <f>IF(D10="E",-H10,0)</f>
        <v>-7.0685835749999999</v>
      </c>
      <c r="J10">
        <f>IF(D10="F",H10,0)</f>
        <v>0</v>
      </c>
      <c r="K10">
        <f>IF(D10="D",H10,0)</f>
        <v>0</v>
      </c>
      <c r="L10">
        <f>(I10+J10)*0.5*5.6/2</f>
        <v>-9.8960170049999991</v>
      </c>
      <c r="M10">
        <f>(I10-J10)/3.97/2*5.6/2</f>
        <v>-2.4926994974811079</v>
      </c>
      <c r="N10">
        <v>-345.5919395465898</v>
      </c>
      <c r="O10">
        <v>0.98783971953069472</v>
      </c>
      <c r="P10">
        <v>0.1248629380147132</v>
      </c>
      <c r="Q10">
        <f>IF(D10="E",$H10*$E10/3.1415927*180+$AA$1,0)</f>
        <v>980</v>
      </c>
      <c r="R10">
        <f>IF(D10="F",$H10*$E10/3.1415927*180+$AA$1,0)</f>
        <v>0</v>
      </c>
      <c r="S10">
        <f>IF(D10="D",$H10*$E10/3.1415927*180+$AA$1,0)</f>
        <v>0</v>
      </c>
    </row>
    <row r="11" spans="1:22" x14ac:dyDescent="0.55000000000000004">
      <c r="A11">
        <v>0</v>
      </c>
      <c r="B11">
        <v>0</v>
      </c>
      <c r="C11">
        <v>0</v>
      </c>
      <c r="D11" t="s">
        <v>0</v>
      </c>
      <c r="E11">
        <f t="shared" ref="E11:E13" si="19">ABS(ABS(G11)/180*3.1415927/H11)</f>
        <v>2.4197530864197527</v>
      </c>
      <c r="F11">
        <f>F10</f>
        <v>50</v>
      </c>
      <c r="G11">
        <f t="shared" si="18"/>
        <v>-980</v>
      </c>
      <c r="H11">
        <f>SIGN(G11)*SUMIF(abaqus!A:A,CONCATENATE("=",ABS(F11)),abaqus!B:B)</f>
        <v>-7.0685835749999999</v>
      </c>
      <c r="I11">
        <f t="shared" ref="I11:I13" si="20">IF(D11="E",-H11,0)</f>
        <v>7.0685835749999999</v>
      </c>
      <c r="J11">
        <f t="shared" ref="J11:J13" si="21">IF(D11="F",H11,0)</f>
        <v>0</v>
      </c>
      <c r="K11">
        <f t="shared" ref="K11:K13" si="22">IF(D11="D",H11,0)</f>
        <v>0</v>
      </c>
      <c r="L11">
        <f t="shared" ref="L11:L13" si="23">(I11+J11)*0.5*5.6/2</f>
        <v>9.8960170049999991</v>
      </c>
      <c r="M11">
        <f t="shared" ref="M11:M13" si="24">(I11-J11)/3.97/2*5.6/2</f>
        <v>2.4926994974811079</v>
      </c>
      <c r="N11">
        <v>345.5919395465898</v>
      </c>
      <c r="O11">
        <v>-0.98783971953069472</v>
      </c>
      <c r="P11">
        <v>0.1248629380147132</v>
      </c>
      <c r="Q11">
        <f t="shared" ref="Q11:Q13" si="25">IF(D11="E",$H11*$E11/3.1415927*180+$AA$1,0)</f>
        <v>-980</v>
      </c>
      <c r="R11">
        <f t="shared" ref="R11:R13" si="26">IF(D11="F",$H11*$E11/3.1415927*180+$AA$1,0)</f>
        <v>0</v>
      </c>
      <c r="S11">
        <f t="shared" ref="S11:S13" si="27">IF(D11="D",$H11*$E11/3.1415927*180+$AA$1,0)</f>
        <v>0</v>
      </c>
    </row>
    <row r="12" spans="1:22" x14ac:dyDescent="0.55000000000000004">
      <c r="A12">
        <v>0</v>
      </c>
      <c r="B12">
        <v>0</v>
      </c>
      <c r="C12">
        <v>0</v>
      </c>
      <c r="D12" t="s">
        <v>0</v>
      </c>
      <c r="E12">
        <f t="shared" si="19"/>
        <v>2.4197530864197527</v>
      </c>
      <c r="F12">
        <f>-F11</f>
        <v>-50</v>
      </c>
      <c r="G12">
        <f t="shared" si="18"/>
        <v>980</v>
      </c>
      <c r="H12">
        <f>SIGN(G12)*SUMIF(abaqus!A:A,CONCATENATE("=",ABS(F12)),abaqus!B:B)</f>
        <v>7.0685835749999999</v>
      </c>
      <c r="I12">
        <f t="shared" si="20"/>
        <v>-7.0685835749999999</v>
      </c>
      <c r="J12">
        <f t="shared" si="21"/>
        <v>0</v>
      </c>
      <c r="K12">
        <f t="shared" si="22"/>
        <v>0</v>
      </c>
      <c r="L12">
        <f t="shared" si="23"/>
        <v>-9.8960170049999991</v>
      </c>
      <c r="M12">
        <f t="shared" si="24"/>
        <v>-2.4926994974811079</v>
      </c>
      <c r="N12">
        <v>-345.5919395465898</v>
      </c>
      <c r="O12">
        <v>0.98783971953069472</v>
      </c>
      <c r="P12">
        <v>0.1248629380147132</v>
      </c>
      <c r="Q12">
        <f t="shared" si="25"/>
        <v>980</v>
      </c>
      <c r="R12">
        <f t="shared" si="26"/>
        <v>0</v>
      </c>
      <c r="S12">
        <f t="shared" si="27"/>
        <v>0</v>
      </c>
    </row>
    <row r="13" spans="1:22" x14ac:dyDescent="0.55000000000000004">
      <c r="A13">
        <v>0</v>
      </c>
      <c r="B13">
        <v>0</v>
      </c>
      <c r="C13">
        <v>0</v>
      </c>
      <c r="D13" t="s">
        <v>0</v>
      </c>
      <c r="E13">
        <f t="shared" si="19"/>
        <v>2.4197530864197527</v>
      </c>
      <c r="F13">
        <f>F12</f>
        <v>-50</v>
      </c>
      <c r="G13">
        <f t="shared" si="18"/>
        <v>-980</v>
      </c>
      <c r="H13">
        <f>SIGN(G13)*SUMIF(abaqus!A:A,CONCATENATE("=",ABS(F13)),abaqus!B:B)</f>
        <v>-7.0685835749999999</v>
      </c>
      <c r="I13">
        <f t="shared" si="20"/>
        <v>7.0685835749999999</v>
      </c>
      <c r="J13">
        <f t="shared" si="21"/>
        <v>0</v>
      </c>
      <c r="K13">
        <f t="shared" si="22"/>
        <v>0</v>
      </c>
      <c r="L13">
        <f t="shared" si="23"/>
        <v>9.8960170049999991</v>
      </c>
      <c r="M13">
        <f t="shared" si="24"/>
        <v>2.4926994974811079</v>
      </c>
      <c r="N13">
        <v>345.5919395465898</v>
      </c>
      <c r="O13">
        <v>-0.98783971953069472</v>
      </c>
      <c r="P13">
        <v>0.1248629380147132</v>
      </c>
      <c r="Q13">
        <f t="shared" si="25"/>
        <v>-980</v>
      </c>
      <c r="R13">
        <f t="shared" si="26"/>
        <v>0</v>
      </c>
      <c r="S13">
        <f t="shared" si="27"/>
        <v>0</v>
      </c>
    </row>
    <row r="14" spans="1:22" x14ac:dyDescent="0.55000000000000004">
      <c r="A14">
        <v>0</v>
      </c>
      <c r="B14">
        <v>0</v>
      </c>
      <c r="C14">
        <v>0</v>
      </c>
      <c r="D14" t="s">
        <v>4</v>
      </c>
      <c r="E14">
        <f>ABS(ABS(G14)/180*3.1415927/H14)</f>
        <v>0.96296296296296291</v>
      </c>
      <c r="F14">
        <f>-F13</f>
        <v>50</v>
      </c>
      <c r="G14">
        <v>390</v>
      </c>
      <c r="H14">
        <f>SIGN(G14)*SUMIF(abaqus!A:A,CONCATENATE("=",ABS(F14)),abaqus!B:B)</f>
        <v>7.0685835749999999</v>
      </c>
      <c r="I14">
        <f>IF(D14="E",-H14,0)</f>
        <v>0</v>
      </c>
      <c r="J14">
        <f>IF(D14="F",H14,0)</f>
        <v>7.0685835749999999</v>
      </c>
      <c r="K14">
        <f>IF(D14="D",H14,0)</f>
        <v>0</v>
      </c>
      <c r="L14">
        <f>(I14+J14)*0.5*5.6/2</f>
        <v>9.8960170049999991</v>
      </c>
      <c r="M14">
        <f>(I14-J14)/3.97/2*5.6/2</f>
        <v>-2.4926994974811079</v>
      </c>
      <c r="N14">
        <v>-137.53148614610421</v>
      </c>
      <c r="O14">
        <v>2.6804860859764323</v>
      </c>
      <c r="P14">
        <v>-6.8984669843007911</v>
      </c>
      <c r="Q14">
        <f>IF(D14="E",$H14*$E14/3.1415927*180+$AA$1,0)</f>
        <v>0</v>
      </c>
      <c r="R14">
        <f>IF(D14="F",$H14*$E14/3.1415927*180+$AA$1,0)</f>
        <v>390</v>
      </c>
      <c r="S14">
        <f>IF(D14="D",$H14*$E14/3.1415927*180+$AA$1,0)</f>
        <v>0</v>
      </c>
    </row>
    <row r="15" spans="1:22" x14ac:dyDescent="0.55000000000000004">
      <c r="A15">
        <v>0</v>
      </c>
      <c r="B15">
        <v>0</v>
      </c>
      <c r="C15">
        <v>0</v>
      </c>
      <c r="D15" t="s">
        <v>4</v>
      </c>
      <c r="E15">
        <f t="shared" ref="E15:E25" si="28">ABS(ABS(G15)/180*3.1415927/H15)</f>
        <v>0.96296296296296291</v>
      </c>
      <c r="F15">
        <f>F14</f>
        <v>50</v>
      </c>
      <c r="G15">
        <v>-390</v>
      </c>
      <c r="H15">
        <f>SIGN(G15)*SUMIF(abaqus!A:A,CONCATENATE("=",ABS(F15)),abaqus!B:B)</f>
        <v>-7.0685835749999999</v>
      </c>
      <c r="I15">
        <f t="shared" ref="I15:I17" si="29">IF(D15="E",-H15,0)</f>
        <v>0</v>
      </c>
      <c r="J15">
        <f t="shared" ref="J15:J25" si="30">IF(D15="F",H15,0)</f>
        <v>-7.0685835749999999</v>
      </c>
      <c r="K15">
        <f t="shared" ref="K15:K25" si="31">IF(D15="D",H15,0)</f>
        <v>0</v>
      </c>
      <c r="L15">
        <f t="shared" ref="L15:L25" si="32">(I15+J15)*0.5*5.6/2</f>
        <v>-9.8960170049999991</v>
      </c>
      <c r="M15">
        <f t="shared" ref="M15:M25" si="33">(I15-J15)/3.97/2*5.6/2</f>
        <v>2.4926994974811079</v>
      </c>
      <c r="N15">
        <v>137.53148614610421</v>
      </c>
      <c r="O15">
        <v>-2.6804860859764323</v>
      </c>
      <c r="P15">
        <v>-6.8984669843007911</v>
      </c>
      <c r="Q15">
        <f t="shared" ref="Q15:Q25" si="34">IF(D15="E",$H15*$E15/3.1415927*180+$AA$1,0)</f>
        <v>0</v>
      </c>
      <c r="R15">
        <f t="shared" ref="R15:R25" si="35">IF(D15="F",$H15*$E15/3.1415927*180+$AA$1,0)</f>
        <v>-390</v>
      </c>
      <c r="S15">
        <f t="shared" ref="S15:S25" si="36">IF(D15="D",$H15*$E15/3.1415927*180+$AA$1,0)</f>
        <v>0</v>
      </c>
    </row>
    <row r="16" spans="1:22" x14ac:dyDescent="0.55000000000000004">
      <c r="A16">
        <v>0</v>
      </c>
      <c r="B16">
        <v>0</v>
      </c>
      <c r="C16">
        <v>0</v>
      </c>
      <c r="D16" t="s">
        <v>4</v>
      </c>
      <c r="E16">
        <f t="shared" si="28"/>
        <v>0.96296296296296291</v>
      </c>
      <c r="F16">
        <f>-F15</f>
        <v>-50</v>
      </c>
      <c r="G16">
        <v>390</v>
      </c>
      <c r="H16">
        <f>SIGN(G16)*SUMIF(abaqus!A:A,CONCATENATE("=",ABS(F16)),abaqus!B:B)</f>
        <v>7.0685835749999999</v>
      </c>
      <c r="I16">
        <f t="shared" si="29"/>
        <v>0</v>
      </c>
      <c r="J16">
        <f t="shared" si="30"/>
        <v>7.0685835749999999</v>
      </c>
      <c r="K16">
        <f t="shared" si="31"/>
        <v>0</v>
      </c>
      <c r="L16">
        <f t="shared" si="32"/>
        <v>9.8960170049999991</v>
      </c>
      <c r="M16">
        <f t="shared" si="33"/>
        <v>-2.4926994974811079</v>
      </c>
      <c r="N16">
        <v>-137.53148614610421</v>
      </c>
      <c r="O16">
        <v>2.6804860859764323</v>
      </c>
      <c r="P16">
        <v>-6.8984669843007911</v>
      </c>
      <c r="Q16">
        <f t="shared" si="34"/>
        <v>0</v>
      </c>
      <c r="R16">
        <f t="shared" si="35"/>
        <v>390</v>
      </c>
      <c r="S16">
        <f t="shared" si="36"/>
        <v>0</v>
      </c>
    </row>
    <row r="17" spans="1:19" x14ac:dyDescent="0.55000000000000004">
      <c r="A17">
        <v>0</v>
      </c>
      <c r="B17">
        <v>0</v>
      </c>
      <c r="C17">
        <v>0</v>
      </c>
      <c r="D17" t="s">
        <v>4</v>
      </c>
      <c r="E17">
        <f t="shared" si="28"/>
        <v>0.96296296296296291</v>
      </c>
      <c r="F17">
        <f>F16</f>
        <v>-50</v>
      </c>
      <c r="G17">
        <v>-390</v>
      </c>
      <c r="H17">
        <f>SIGN(G17)*SUMIF(abaqus!A:A,CONCATENATE("=",ABS(F17)),abaqus!B:B)</f>
        <v>-7.0685835749999999</v>
      </c>
      <c r="I17">
        <f t="shared" si="29"/>
        <v>0</v>
      </c>
      <c r="J17">
        <f t="shared" si="30"/>
        <v>-7.0685835749999999</v>
      </c>
      <c r="K17">
        <f t="shared" si="31"/>
        <v>0</v>
      </c>
      <c r="L17">
        <f t="shared" si="32"/>
        <v>-9.8960170049999991</v>
      </c>
      <c r="M17">
        <f t="shared" si="33"/>
        <v>2.4926994974811079</v>
      </c>
      <c r="N17">
        <v>137.53148614610421</v>
      </c>
      <c r="O17">
        <v>-2.6804860859764323</v>
      </c>
      <c r="P17">
        <v>-6.8984669843007911</v>
      </c>
      <c r="Q17">
        <f t="shared" si="34"/>
        <v>0</v>
      </c>
      <c r="R17">
        <f t="shared" si="35"/>
        <v>-390</v>
      </c>
      <c r="S17">
        <f t="shared" si="36"/>
        <v>0</v>
      </c>
    </row>
    <row r="18" spans="1:19" x14ac:dyDescent="0.55000000000000004">
      <c r="A18">
        <v>0</v>
      </c>
      <c r="B18">
        <v>0</v>
      </c>
      <c r="C18">
        <v>0</v>
      </c>
      <c r="D18" t="s">
        <v>4</v>
      </c>
      <c r="E18">
        <f>ABS(ABS(G18)/180*3.1415927/H18)</f>
        <v>1.0987654320987654</v>
      </c>
      <c r="F18">
        <v>50</v>
      </c>
      <c r="G18">
        <v>445</v>
      </c>
      <c r="H18">
        <f>SIGN(G18)*SUMIF(abaqus!A:A,CONCATENATE("=",ABS(F18)),abaqus!B:B)</f>
        <v>7.0685835749999999</v>
      </c>
      <c r="I18">
        <f>IF(D18="E",-H18,0)</f>
        <v>0</v>
      </c>
      <c r="J18">
        <f>IF(D18="F",H18,0)</f>
        <v>7.0685835749999999</v>
      </c>
      <c r="K18">
        <f>IF(D18="D",H18,0)</f>
        <v>0</v>
      </c>
      <c r="L18">
        <f>(I18+J18)*0.5*5.6/2</f>
        <v>9.8960170049999991</v>
      </c>
      <c r="M18">
        <f>(I18-J18)/3.97/2*5.6/2</f>
        <v>-2.4926994974811079</v>
      </c>
      <c r="N18">
        <v>-156.9269521410711</v>
      </c>
      <c r="O18">
        <v>1.5558607058722049</v>
      </c>
      <c r="P18">
        <v>-7.6224249863402598</v>
      </c>
      <c r="Q18">
        <f>IF(D18="E",$H18*$E18/3.1415927*180+$AA$1,0)</f>
        <v>0</v>
      </c>
      <c r="R18">
        <f>IF(D18="F",$H18*$E18/3.1415927*180+$AA$1,0)</f>
        <v>445</v>
      </c>
      <c r="S18">
        <f>IF(D18="D",$H18*$E18/3.1415927*180+$AA$1,0)</f>
        <v>0</v>
      </c>
    </row>
    <row r="19" spans="1:19" x14ac:dyDescent="0.55000000000000004">
      <c r="A19">
        <v>0</v>
      </c>
      <c r="B19">
        <v>0</v>
      </c>
      <c r="C19">
        <v>0</v>
      </c>
      <c r="D19" t="s">
        <v>4</v>
      </c>
      <c r="E19">
        <f t="shared" ref="E19:E21" si="37">ABS(ABS(G19)/180*3.1415927/H19)</f>
        <v>1.0987654320987654</v>
      </c>
      <c r="F19">
        <f>F18</f>
        <v>50</v>
      </c>
      <c r="G19">
        <f>G18</f>
        <v>445</v>
      </c>
      <c r="H19">
        <f>SIGN(G19)*SUMIF(abaqus!A:A,CONCATENATE("=",ABS(F19)),abaqus!B:B)</f>
        <v>7.0685835749999999</v>
      </c>
      <c r="I19">
        <f t="shared" ref="I19:I21" si="38">IF(D19="E",-H19,0)</f>
        <v>0</v>
      </c>
      <c r="J19">
        <f t="shared" ref="J19:J21" si="39">IF(D19="F",H19,0)</f>
        <v>7.0685835749999999</v>
      </c>
      <c r="K19">
        <f t="shared" ref="K19:K21" si="40">IF(D19="D",H19,0)</f>
        <v>0</v>
      </c>
      <c r="L19">
        <f t="shared" ref="L19:L21" si="41">(I19+J19)*0.5*5.6/2</f>
        <v>9.8960170049999991</v>
      </c>
      <c r="M19">
        <f t="shared" ref="M19:M21" si="42">(I19-J19)/3.97/2*5.6/2</f>
        <v>-2.4926994974811079</v>
      </c>
      <c r="N19">
        <v>-156.9269521410711</v>
      </c>
      <c r="O19">
        <v>1.5558607058722049</v>
      </c>
      <c r="P19">
        <v>-7.6224249863402598</v>
      </c>
      <c r="Q19">
        <f t="shared" ref="Q19:Q21" si="43">IF(D19="E",$H19*$E19/3.1415927*180+$AA$1,0)</f>
        <v>0</v>
      </c>
      <c r="R19">
        <f t="shared" ref="R19:R21" si="44">IF(D19="F",$H19*$E19/3.1415927*180+$AA$1,0)</f>
        <v>445</v>
      </c>
      <c r="S19">
        <f t="shared" ref="S19:S21" si="45">IF(D19="D",$H19*$E19/3.1415927*180+$AA$1,0)</f>
        <v>0</v>
      </c>
    </row>
    <row r="20" spans="1:19" x14ac:dyDescent="0.55000000000000004">
      <c r="A20">
        <v>0</v>
      </c>
      <c r="B20">
        <v>0</v>
      </c>
      <c r="C20">
        <v>0</v>
      </c>
      <c r="D20" t="s">
        <v>4</v>
      </c>
      <c r="E20">
        <f t="shared" si="37"/>
        <v>1.0987654320987654</v>
      </c>
      <c r="F20">
        <f>-F19</f>
        <v>-50</v>
      </c>
      <c r="G20">
        <f>-G19</f>
        <v>-445</v>
      </c>
      <c r="H20">
        <f>SIGN(G20)*SUMIF(abaqus!A:A,CONCATENATE("=",ABS(F20)),abaqus!B:B)</f>
        <v>-7.0685835749999999</v>
      </c>
      <c r="I20">
        <f t="shared" si="38"/>
        <v>0</v>
      </c>
      <c r="J20">
        <f t="shared" si="39"/>
        <v>-7.0685835749999999</v>
      </c>
      <c r="K20">
        <f t="shared" si="40"/>
        <v>0</v>
      </c>
      <c r="L20">
        <f t="shared" si="41"/>
        <v>-9.8960170049999991</v>
      </c>
      <c r="M20">
        <f t="shared" si="42"/>
        <v>2.4926994974811079</v>
      </c>
      <c r="N20">
        <v>156.9269521410711</v>
      </c>
      <c r="O20">
        <v>-1.5558607058722049</v>
      </c>
      <c r="P20">
        <v>-7.6224249863402598</v>
      </c>
      <c r="Q20">
        <f t="shared" si="43"/>
        <v>0</v>
      </c>
      <c r="R20">
        <f t="shared" si="44"/>
        <v>-445</v>
      </c>
      <c r="S20">
        <f t="shared" si="45"/>
        <v>0</v>
      </c>
    </row>
    <row r="21" spans="1:19" x14ac:dyDescent="0.55000000000000004">
      <c r="A21">
        <v>0</v>
      </c>
      <c r="B21">
        <v>0</v>
      </c>
      <c r="C21">
        <v>0</v>
      </c>
      <c r="D21" t="s">
        <v>4</v>
      </c>
      <c r="E21">
        <f t="shared" si="37"/>
        <v>1.0987654320987654</v>
      </c>
      <c r="F21">
        <f>F20</f>
        <v>-50</v>
      </c>
      <c r="G21">
        <f t="shared" ref="G21:G25" si="46">-G20</f>
        <v>445</v>
      </c>
      <c r="H21">
        <f>SIGN(G21)*SUMIF(abaqus!A:A,CONCATENATE("=",ABS(F21)),abaqus!B:B)</f>
        <v>7.0685835749999999</v>
      </c>
      <c r="I21">
        <f t="shared" si="38"/>
        <v>0</v>
      </c>
      <c r="J21">
        <f t="shared" si="39"/>
        <v>7.0685835749999999</v>
      </c>
      <c r="K21">
        <f t="shared" si="40"/>
        <v>0</v>
      </c>
      <c r="L21">
        <f t="shared" si="41"/>
        <v>9.8960170049999991</v>
      </c>
      <c r="M21">
        <f t="shared" si="42"/>
        <v>-2.4926994974811079</v>
      </c>
      <c r="N21">
        <v>-156.9269521410711</v>
      </c>
      <c r="O21">
        <v>1.5558607058722049</v>
      </c>
      <c r="P21">
        <v>-7.6224249863402598</v>
      </c>
      <c r="Q21">
        <f t="shared" si="43"/>
        <v>0</v>
      </c>
      <c r="R21">
        <f t="shared" si="44"/>
        <v>445</v>
      </c>
      <c r="S21">
        <f t="shared" si="45"/>
        <v>0</v>
      </c>
    </row>
    <row r="22" spans="1:19" x14ac:dyDescent="0.55000000000000004">
      <c r="A22">
        <v>0</v>
      </c>
      <c r="B22">
        <v>0</v>
      </c>
      <c r="C22">
        <v>0</v>
      </c>
      <c r="D22" t="s">
        <v>4</v>
      </c>
      <c r="E22">
        <f>ABS(ABS(G22)/180*3.1415927/H22)</f>
        <v>2.4197530864197527</v>
      </c>
      <c r="F22">
        <f>-F21</f>
        <v>50</v>
      </c>
      <c r="G22">
        <v>980</v>
      </c>
      <c r="H22">
        <f>SIGN(G22)*SUMIF(abaqus!A:A,CONCATENATE("=",ABS(F22)),abaqus!B:B)</f>
        <v>7.0685835749999999</v>
      </c>
      <c r="I22">
        <f>IF(D22="E",-H22,0)</f>
        <v>0</v>
      </c>
      <c r="J22">
        <f>IF(D22="F",H22,0)</f>
        <v>7.0685835749999999</v>
      </c>
      <c r="K22">
        <f>IF(D22="D",H22,0)</f>
        <v>0</v>
      </c>
      <c r="L22">
        <f>(I22+J22)*0.5*5.6/2</f>
        <v>9.8960170049999991</v>
      </c>
      <c r="M22">
        <f>(I22-J22)/3.97/2*5.6/2</f>
        <v>-2.4926994974811079</v>
      </c>
      <c r="N22">
        <v>-345.5919395465898</v>
      </c>
      <c r="O22">
        <v>-0.98783971953069472</v>
      </c>
      <c r="P22">
        <v>-0.1248629380147132</v>
      </c>
      <c r="Q22">
        <f>IF(D22="E",$H22*$E22/3.1415927*180+$AA$1,0)</f>
        <v>0</v>
      </c>
      <c r="R22">
        <f>IF(D22="F",$H22*$E22/3.1415927*180+$AA$1,0)</f>
        <v>980</v>
      </c>
      <c r="S22">
        <f>IF(D22="D",$H22*$E22/3.1415927*180+$AA$1,0)</f>
        <v>0</v>
      </c>
    </row>
    <row r="23" spans="1:19" x14ac:dyDescent="0.55000000000000004">
      <c r="A23">
        <v>0</v>
      </c>
      <c r="B23">
        <v>0</v>
      </c>
      <c r="C23">
        <v>0</v>
      </c>
      <c r="D23" t="s">
        <v>4</v>
      </c>
      <c r="E23">
        <f t="shared" ref="E23:E25" si="47">ABS(ABS(G23)/180*3.1415927/H23)</f>
        <v>2.4197530864197527</v>
      </c>
      <c r="F23">
        <f>F22</f>
        <v>50</v>
      </c>
      <c r="G23">
        <f t="shared" si="46"/>
        <v>-980</v>
      </c>
      <c r="H23">
        <f>SIGN(G23)*SUMIF(abaqus!A:A,CONCATENATE("=",ABS(F23)),abaqus!B:B)</f>
        <v>-7.0685835749999999</v>
      </c>
      <c r="I23">
        <f t="shared" ref="I23:I25" si="48">IF(D23="E",-H23,0)</f>
        <v>0</v>
      </c>
      <c r="J23">
        <f t="shared" ref="J23:J25" si="49">IF(D23="F",H23,0)</f>
        <v>-7.0685835749999999</v>
      </c>
      <c r="K23">
        <f t="shared" ref="K23:K25" si="50">IF(D23="D",H23,0)</f>
        <v>0</v>
      </c>
      <c r="L23">
        <f t="shared" ref="L23:L25" si="51">(I23+J23)*0.5*5.6/2</f>
        <v>-9.8960170049999991</v>
      </c>
      <c r="M23">
        <f t="shared" ref="M23:M25" si="52">(I23-J23)/3.97/2*5.6/2</f>
        <v>2.4926994974811079</v>
      </c>
      <c r="N23">
        <v>345.5919395465898</v>
      </c>
      <c r="O23">
        <v>0.98783971953069472</v>
      </c>
      <c r="P23">
        <v>-0.1248629380147132</v>
      </c>
      <c r="Q23">
        <f t="shared" ref="Q23:Q25" si="53">IF(D23="E",$H23*$E23/3.1415927*180+$AA$1,0)</f>
        <v>0</v>
      </c>
      <c r="R23">
        <f t="shared" ref="R23:R25" si="54">IF(D23="F",$H23*$E23/3.1415927*180+$AA$1,0)</f>
        <v>-980</v>
      </c>
      <c r="S23">
        <f t="shared" ref="S23:S25" si="55">IF(D23="D",$H23*$E23/3.1415927*180+$AA$1,0)</f>
        <v>0</v>
      </c>
    </row>
    <row r="24" spans="1:19" x14ac:dyDescent="0.55000000000000004">
      <c r="A24">
        <v>0</v>
      </c>
      <c r="B24">
        <v>0</v>
      </c>
      <c r="C24">
        <v>0</v>
      </c>
      <c r="D24" t="s">
        <v>4</v>
      </c>
      <c r="E24">
        <f t="shared" si="47"/>
        <v>2.4197530864197527</v>
      </c>
      <c r="F24">
        <f>-F23</f>
        <v>-50</v>
      </c>
      <c r="G24">
        <f t="shared" si="46"/>
        <v>980</v>
      </c>
      <c r="H24">
        <f>SIGN(G24)*SUMIF(abaqus!A:A,CONCATENATE("=",ABS(F24)),abaqus!B:B)</f>
        <v>7.0685835749999999</v>
      </c>
      <c r="I24">
        <f t="shared" si="48"/>
        <v>0</v>
      </c>
      <c r="J24">
        <f t="shared" si="49"/>
        <v>7.0685835749999999</v>
      </c>
      <c r="K24">
        <f t="shared" si="50"/>
        <v>0</v>
      </c>
      <c r="L24">
        <f t="shared" si="51"/>
        <v>9.8960170049999991</v>
      </c>
      <c r="M24">
        <f t="shared" si="52"/>
        <v>-2.4926994974811079</v>
      </c>
      <c r="N24">
        <v>-345.5919395465898</v>
      </c>
      <c r="O24">
        <v>-0.98783971953069472</v>
      </c>
      <c r="P24">
        <v>-0.1248629380147132</v>
      </c>
      <c r="Q24">
        <f t="shared" si="53"/>
        <v>0</v>
      </c>
      <c r="R24">
        <f t="shared" si="54"/>
        <v>980</v>
      </c>
      <c r="S24">
        <f t="shared" si="55"/>
        <v>0</v>
      </c>
    </row>
    <row r="25" spans="1:19" x14ac:dyDescent="0.55000000000000004">
      <c r="A25">
        <v>0</v>
      </c>
      <c r="B25">
        <v>0</v>
      </c>
      <c r="C25">
        <v>0</v>
      </c>
      <c r="D25" t="s">
        <v>4</v>
      </c>
      <c r="E25">
        <f t="shared" si="47"/>
        <v>2.4197530864197527</v>
      </c>
      <c r="F25">
        <f>F24</f>
        <v>-50</v>
      </c>
      <c r="G25">
        <f t="shared" si="46"/>
        <v>-980</v>
      </c>
      <c r="H25">
        <f>SIGN(G25)*SUMIF(abaqus!A:A,CONCATENATE("=",ABS(F25)),abaqus!B:B)</f>
        <v>-7.0685835749999999</v>
      </c>
      <c r="I25">
        <f t="shared" si="48"/>
        <v>0</v>
      </c>
      <c r="J25">
        <f t="shared" si="49"/>
        <v>-7.0685835749999999</v>
      </c>
      <c r="K25">
        <f t="shared" si="50"/>
        <v>0</v>
      </c>
      <c r="L25">
        <f t="shared" si="51"/>
        <v>-9.8960170049999991</v>
      </c>
      <c r="M25">
        <f t="shared" si="52"/>
        <v>2.4926994974811079</v>
      </c>
      <c r="N25">
        <v>345.5919395465898</v>
      </c>
      <c r="O25">
        <v>0.98783971953069472</v>
      </c>
      <c r="P25">
        <v>-0.1248629380147132</v>
      </c>
      <c r="Q25">
        <f t="shared" si="53"/>
        <v>0</v>
      </c>
      <c r="R25">
        <f t="shared" si="54"/>
        <v>-980</v>
      </c>
      <c r="S25">
        <f t="shared" si="55"/>
        <v>0</v>
      </c>
    </row>
    <row r="26" spans="1:19" x14ac:dyDescent="0.55000000000000004">
      <c r="A26">
        <v>0</v>
      </c>
      <c r="B26">
        <v>0</v>
      </c>
      <c r="C26">
        <v>0</v>
      </c>
      <c r="D26" t="s">
        <v>18</v>
      </c>
      <c r="E26">
        <f>ABS(ABS(G26)/180*3.1415927/H26)</f>
        <v>0.96296296296296291</v>
      </c>
      <c r="F26">
        <v>50</v>
      </c>
      <c r="G26">
        <v>390</v>
      </c>
      <c r="H26">
        <f>SIGN(G26)*SUMIF(abaqus!A:A,CONCATENATE("=",ABS(F26)),abaqus!B:B)</f>
        <v>7.0685835749999999</v>
      </c>
      <c r="I26">
        <f>IF(D26="E",-H26,0)</f>
        <v>0</v>
      </c>
      <c r="J26">
        <f>IF(D26="F",H26,0)</f>
        <v>0</v>
      </c>
      <c r="K26">
        <f>IF(D26="D",H26,0)</f>
        <v>7.0685835749999999</v>
      </c>
      <c r="L26">
        <f>(I26+J26)*0.5*5.6/2</f>
        <v>0</v>
      </c>
      <c r="M26">
        <f>(I26-J26)/3.97/2*5.6/2</f>
        <v>0</v>
      </c>
      <c r="N26">
        <v>0</v>
      </c>
      <c r="O26">
        <v>0</v>
      </c>
      <c r="P26">
        <v>0</v>
      </c>
      <c r="Q26">
        <f>IF(D26="E",$H26*$E26/3.1415927*180+$AA$1,0)</f>
        <v>0</v>
      </c>
      <c r="R26">
        <f>IF(D26="F",$H26*$E26/3.1415927*180+$AA$1,0)</f>
        <v>0</v>
      </c>
      <c r="S26">
        <f>IF(D26="D",$H26*$E26/3.1415927*180+$AA$1,0)</f>
        <v>390</v>
      </c>
    </row>
    <row r="27" spans="1:19" x14ac:dyDescent="0.55000000000000004">
      <c r="A27">
        <v>0</v>
      </c>
      <c r="B27">
        <v>0</v>
      </c>
      <c r="C27">
        <v>0</v>
      </c>
      <c r="D27" t="s">
        <v>18</v>
      </c>
      <c r="E27">
        <f t="shared" ref="E27:E37" si="56">ABS(ABS(G27)/180*3.1415927/H27)</f>
        <v>0.96296296296296291</v>
      </c>
      <c r="F27">
        <f>F26</f>
        <v>50</v>
      </c>
      <c r="G27">
        <v>-390</v>
      </c>
      <c r="H27">
        <f>SIGN(G27)*SUMIF(abaqus!A:A,CONCATENATE("=",ABS(F27)),abaqus!B:B)</f>
        <v>-7.0685835749999999</v>
      </c>
      <c r="I27">
        <f t="shared" ref="I27:I29" si="57">IF(D27="E",-H27,0)</f>
        <v>0</v>
      </c>
      <c r="J27">
        <f t="shared" ref="J27:J37" si="58">IF(D27="F",H27,0)</f>
        <v>0</v>
      </c>
      <c r="K27">
        <f t="shared" ref="K27:K37" si="59">IF(D27="D",H27,0)</f>
        <v>-7.0685835749999999</v>
      </c>
      <c r="L27">
        <f t="shared" ref="L27:L37" si="60">(I27+J27)*0.5*5.6/2</f>
        <v>0</v>
      </c>
      <c r="M27">
        <f t="shared" ref="M27:M37" si="61">(I27-J27)/3.97/2*5.6/2</f>
        <v>0</v>
      </c>
      <c r="N27">
        <v>0</v>
      </c>
      <c r="O27">
        <v>0</v>
      </c>
      <c r="P27">
        <v>0</v>
      </c>
      <c r="Q27">
        <f t="shared" ref="Q27:Q37" si="62">IF(D27="E",$H27*$E27/3.1415927*180+$AA$1,0)</f>
        <v>0</v>
      </c>
      <c r="R27">
        <f t="shared" ref="R27:R37" si="63">IF(D27="F",$H27*$E27/3.1415927*180+$AA$1,0)</f>
        <v>0</v>
      </c>
      <c r="S27">
        <f t="shared" ref="S27:S37" si="64">IF(D27="D",$H27*$E27/3.1415927*180+$AA$1,0)</f>
        <v>-390</v>
      </c>
    </row>
    <row r="28" spans="1:19" x14ac:dyDescent="0.55000000000000004">
      <c r="A28">
        <v>0</v>
      </c>
      <c r="B28">
        <v>0</v>
      </c>
      <c r="C28">
        <v>0</v>
      </c>
      <c r="D28" t="s">
        <v>18</v>
      </c>
      <c r="E28">
        <f t="shared" si="56"/>
        <v>0.96296296296296291</v>
      </c>
      <c r="F28">
        <f>-F27</f>
        <v>-50</v>
      </c>
      <c r="G28">
        <v>390</v>
      </c>
      <c r="H28">
        <f>SIGN(G28)*SUMIF(abaqus!A:A,CONCATENATE("=",ABS(F28)),abaqus!B:B)</f>
        <v>7.0685835749999999</v>
      </c>
      <c r="I28">
        <f t="shared" si="57"/>
        <v>0</v>
      </c>
      <c r="J28">
        <f t="shared" si="58"/>
        <v>0</v>
      </c>
      <c r="K28">
        <f t="shared" si="59"/>
        <v>7.0685835749999999</v>
      </c>
      <c r="L28">
        <f t="shared" si="60"/>
        <v>0</v>
      </c>
      <c r="M28">
        <f t="shared" si="61"/>
        <v>0</v>
      </c>
      <c r="N28">
        <v>0</v>
      </c>
      <c r="O28">
        <v>0</v>
      </c>
      <c r="P28">
        <v>0</v>
      </c>
      <c r="Q28">
        <f t="shared" si="62"/>
        <v>0</v>
      </c>
      <c r="R28">
        <f t="shared" si="63"/>
        <v>0</v>
      </c>
      <c r="S28">
        <f t="shared" si="64"/>
        <v>390</v>
      </c>
    </row>
    <row r="29" spans="1:19" x14ac:dyDescent="0.55000000000000004">
      <c r="A29">
        <v>0</v>
      </c>
      <c r="B29">
        <v>0</v>
      </c>
      <c r="C29">
        <v>0</v>
      </c>
      <c r="D29" t="s">
        <v>18</v>
      </c>
      <c r="E29">
        <f t="shared" si="56"/>
        <v>0.96296296296296291</v>
      </c>
      <c r="F29">
        <f>F28</f>
        <v>-50</v>
      </c>
      <c r="G29">
        <v>-390</v>
      </c>
      <c r="H29">
        <f>SIGN(G29)*SUMIF(abaqus!A:A,CONCATENATE("=",ABS(F29)),abaqus!B:B)</f>
        <v>-7.0685835749999999</v>
      </c>
      <c r="I29">
        <f t="shared" si="57"/>
        <v>0</v>
      </c>
      <c r="J29">
        <f t="shared" si="58"/>
        <v>0</v>
      </c>
      <c r="K29">
        <f t="shared" si="59"/>
        <v>-7.0685835749999999</v>
      </c>
      <c r="L29">
        <f t="shared" si="60"/>
        <v>0</v>
      </c>
      <c r="M29">
        <f t="shared" si="61"/>
        <v>0</v>
      </c>
      <c r="N29">
        <v>0</v>
      </c>
      <c r="O29">
        <v>0</v>
      </c>
      <c r="P29">
        <v>0</v>
      </c>
      <c r="Q29">
        <f t="shared" si="62"/>
        <v>0</v>
      </c>
      <c r="R29">
        <f t="shared" si="63"/>
        <v>0</v>
      </c>
      <c r="S29">
        <f t="shared" si="64"/>
        <v>-390</v>
      </c>
    </row>
    <row r="30" spans="1:19" x14ac:dyDescent="0.55000000000000004">
      <c r="A30">
        <v>0</v>
      </c>
      <c r="B30">
        <v>0</v>
      </c>
      <c r="C30">
        <v>0</v>
      </c>
      <c r="D30" t="s">
        <v>18</v>
      </c>
      <c r="E30">
        <f>ABS(ABS(G30)/180*3.1415927/H30)</f>
        <v>1.0987654320987654</v>
      </c>
      <c r="F30">
        <f>-F29</f>
        <v>50</v>
      </c>
      <c r="G30">
        <v>445</v>
      </c>
      <c r="H30">
        <f>SIGN(G30)*SUMIF(abaqus!A:A,CONCATENATE("=",ABS(F30)),abaqus!B:B)</f>
        <v>7.0685835749999999</v>
      </c>
      <c r="I30">
        <f>IF(D30="E",-H30,0)</f>
        <v>0</v>
      </c>
      <c r="J30">
        <f>IF(D30="F",H30,0)</f>
        <v>0</v>
      </c>
      <c r="K30">
        <f>IF(D30="D",H30,0)</f>
        <v>7.0685835749999999</v>
      </c>
      <c r="L30">
        <f>(I30+J30)*0.5*5.6/2</f>
        <v>0</v>
      </c>
      <c r="M30">
        <f>(I30-J30)/3.97/2*5.6/2</f>
        <v>0</v>
      </c>
      <c r="N30">
        <v>0</v>
      </c>
      <c r="O30">
        <v>0</v>
      </c>
      <c r="P30">
        <v>0</v>
      </c>
      <c r="Q30">
        <f>IF(D30="E",$H30*$E30/3.1415927*180+$AA$1,0)</f>
        <v>0</v>
      </c>
      <c r="R30">
        <f>IF(D30="F",$H30*$E30/3.1415927*180+$AA$1,0)</f>
        <v>0</v>
      </c>
      <c r="S30">
        <f>IF(D30="D",$H30*$E30/3.1415927*180+$AA$1,0)</f>
        <v>445</v>
      </c>
    </row>
    <row r="31" spans="1:19" x14ac:dyDescent="0.55000000000000004">
      <c r="A31">
        <v>0</v>
      </c>
      <c r="B31">
        <v>0</v>
      </c>
      <c r="C31">
        <v>0</v>
      </c>
      <c r="D31" t="s">
        <v>18</v>
      </c>
      <c r="E31">
        <f t="shared" ref="E31:E33" si="65">ABS(ABS(G31)/180*3.1415927/H31)</f>
        <v>1.0987654320987654</v>
      </c>
      <c r="F31">
        <f>F30</f>
        <v>50</v>
      </c>
      <c r="G31">
        <f>G30</f>
        <v>445</v>
      </c>
      <c r="H31">
        <f>SIGN(G31)*SUMIF(abaqus!A:A,CONCATENATE("=",ABS(F31)),abaqus!B:B)</f>
        <v>7.0685835749999999</v>
      </c>
      <c r="I31">
        <f t="shared" ref="I31:I33" si="66">IF(D31="E",-H31,0)</f>
        <v>0</v>
      </c>
      <c r="J31">
        <f t="shared" ref="J31:J33" si="67">IF(D31="F",H31,0)</f>
        <v>0</v>
      </c>
      <c r="K31">
        <f t="shared" ref="K31:K33" si="68">IF(D31="D",H31,0)</f>
        <v>7.0685835749999999</v>
      </c>
      <c r="L31">
        <f t="shared" ref="L31:L33" si="69">(I31+J31)*0.5*5.6/2</f>
        <v>0</v>
      </c>
      <c r="M31">
        <f t="shared" ref="M31:M33" si="70">(I31-J31)/3.97/2*5.6/2</f>
        <v>0</v>
      </c>
      <c r="N31">
        <v>0</v>
      </c>
      <c r="O31">
        <v>0</v>
      </c>
      <c r="P31">
        <v>0</v>
      </c>
      <c r="Q31">
        <f t="shared" ref="Q31:Q33" si="71">IF(D31="E",$H31*$E31/3.1415927*180+$AA$1,0)</f>
        <v>0</v>
      </c>
      <c r="R31">
        <f t="shared" ref="R31:R33" si="72">IF(D31="F",$H31*$E31/3.1415927*180+$AA$1,0)</f>
        <v>0</v>
      </c>
      <c r="S31">
        <f t="shared" ref="S31:S33" si="73">IF(D31="D",$H31*$E31/3.1415927*180+$AA$1,0)</f>
        <v>445</v>
      </c>
    </row>
    <row r="32" spans="1:19" x14ac:dyDescent="0.55000000000000004">
      <c r="A32">
        <v>0</v>
      </c>
      <c r="B32">
        <v>0</v>
      </c>
      <c r="C32">
        <v>0</v>
      </c>
      <c r="D32" t="s">
        <v>18</v>
      </c>
      <c r="E32">
        <f t="shared" si="65"/>
        <v>1.0987654320987654</v>
      </c>
      <c r="F32">
        <f>-F31</f>
        <v>-50</v>
      </c>
      <c r="G32">
        <f>-G31</f>
        <v>-445</v>
      </c>
      <c r="H32">
        <f>SIGN(G32)*SUMIF(abaqus!A:A,CONCATENATE("=",ABS(F32)),abaqus!B:B)</f>
        <v>-7.0685835749999999</v>
      </c>
      <c r="I32">
        <f t="shared" si="66"/>
        <v>0</v>
      </c>
      <c r="J32">
        <f t="shared" si="67"/>
        <v>0</v>
      </c>
      <c r="K32">
        <f t="shared" si="68"/>
        <v>-7.0685835749999999</v>
      </c>
      <c r="L32">
        <f t="shared" si="69"/>
        <v>0</v>
      </c>
      <c r="M32">
        <f t="shared" si="70"/>
        <v>0</v>
      </c>
      <c r="N32">
        <v>0</v>
      </c>
      <c r="O32">
        <v>0</v>
      </c>
      <c r="P32">
        <v>0</v>
      </c>
      <c r="Q32">
        <f t="shared" si="71"/>
        <v>0</v>
      </c>
      <c r="R32">
        <f t="shared" si="72"/>
        <v>0</v>
      </c>
      <c r="S32">
        <f t="shared" si="73"/>
        <v>-445</v>
      </c>
    </row>
    <row r="33" spans="1:19" x14ac:dyDescent="0.55000000000000004">
      <c r="A33">
        <v>0</v>
      </c>
      <c r="B33">
        <v>0</v>
      </c>
      <c r="C33">
        <v>0</v>
      </c>
      <c r="D33" t="s">
        <v>18</v>
      </c>
      <c r="E33">
        <f t="shared" si="65"/>
        <v>1.0987654320987654</v>
      </c>
      <c r="F33">
        <f>F32</f>
        <v>-50</v>
      </c>
      <c r="G33">
        <f t="shared" ref="G33:G37" si="74">-G32</f>
        <v>445</v>
      </c>
      <c r="H33">
        <f>SIGN(G33)*SUMIF(abaqus!A:A,CONCATENATE("=",ABS(F33)),abaqus!B:B)</f>
        <v>7.0685835749999999</v>
      </c>
      <c r="I33">
        <f t="shared" si="66"/>
        <v>0</v>
      </c>
      <c r="J33">
        <f t="shared" si="67"/>
        <v>0</v>
      </c>
      <c r="K33">
        <f t="shared" si="68"/>
        <v>7.0685835749999999</v>
      </c>
      <c r="L33">
        <f t="shared" si="69"/>
        <v>0</v>
      </c>
      <c r="M33">
        <f t="shared" si="70"/>
        <v>0</v>
      </c>
      <c r="N33">
        <v>0</v>
      </c>
      <c r="O33">
        <v>0</v>
      </c>
      <c r="P33">
        <v>0</v>
      </c>
      <c r="Q33">
        <f t="shared" si="71"/>
        <v>0</v>
      </c>
      <c r="R33">
        <f t="shared" si="72"/>
        <v>0</v>
      </c>
      <c r="S33">
        <f t="shared" si="73"/>
        <v>445</v>
      </c>
    </row>
    <row r="34" spans="1:19" x14ac:dyDescent="0.55000000000000004">
      <c r="A34">
        <v>0</v>
      </c>
      <c r="B34">
        <v>0</v>
      </c>
      <c r="C34">
        <v>0</v>
      </c>
      <c r="D34" t="s">
        <v>18</v>
      </c>
      <c r="E34">
        <f>ABS(ABS(G34)/180*3.1415927/H34)</f>
        <v>2.4197530864197527</v>
      </c>
      <c r="F34">
        <v>50</v>
      </c>
      <c r="G34">
        <v>980</v>
      </c>
      <c r="H34">
        <f>SIGN(G34)*SUMIF(abaqus!A:A,CONCATENATE("=",ABS(F34)),abaqus!B:B)</f>
        <v>7.0685835749999999</v>
      </c>
      <c r="I34">
        <f>IF(D34="E",-H34,0)</f>
        <v>0</v>
      </c>
      <c r="J34">
        <f>IF(D34="F",H34,0)</f>
        <v>0</v>
      </c>
      <c r="K34">
        <f>IF(D34="D",H34,0)</f>
        <v>7.0685835749999999</v>
      </c>
      <c r="L34">
        <f>(I34+J34)*0.5*5.6/2</f>
        <v>0</v>
      </c>
      <c r="M34">
        <f>(I34-J34)/3.97/2*5.6/2</f>
        <v>0</v>
      </c>
      <c r="N34">
        <v>0</v>
      </c>
      <c r="O34">
        <v>0</v>
      </c>
      <c r="P34">
        <v>0</v>
      </c>
      <c r="Q34">
        <f>IF(D34="E",$H34*$E34/3.1415927*180+$AA$1,0)</f>
        <v>0</v>
      </c>
      <c r="R34">
        <f>IF(D34="F",$H34*$E34/3.1415927*180+$AA$1,0)</f>
        <v>0</v>
      </c>
      <c r="S34">
        <f>IF(D34="D",$H34*$E34/3.1415927*180+$AA$1,0)</f>
        <v>980</v>
      </c>
    </row>
    <row r="35" spans="1:19" x14ac:dyDescent="0.55000000000000004">
      <c r="A35">
        <v>0</v>
      </c>
      <c r="B35">
        <v>0</v>
      </c>
      <c r="C35">
        <v>0</v>
      </c>
      <c r="D35" t="s">
        <v>18</v>
      </c>
      <c r="E35">
        <f t="shared" ref="E35:E37" si="75">ABS(ABS(G35)/180*3.1415927/H35)</f>
        <v>2.4197530864197527</v>
      </c>
      <c r="F35">
        <f>F34</f>
        <v>50</v>
      </c>
      <c r="G35">
        <f t="shared" si="74"/>
        <v>-980</v>
      </c>
      <c r="H35">
        <f>SIGN(G35)*SUMIF(abaqus!A:A,CONCATENATE("=",ABS(F35)),abaqus!B:B)</f>
        <v>-7.0685835749999999</v>
      </c>
      <c r="I35">
        <f t="shared" ref="I35:I37" si="76">IF(D35="E",-H35,0)</f>
        <v>0</v>
      </c>
      <c r="J35">
        <f t="shared" ref="J35:J37" si="77">IF(D35="F",H35,0)</f>
        <v>0</v>
      </c>
      <c r="K35">
        <f t="shared" ref="K35:K37" si="78">IF(D35="D",H35,0)</f>
        <v>-7.0685835749999999</v>
      </c>
      <c r="L35">
        <f t="shared" ref="L35:L37" si="79">(I35+J35)*0.5*5.6/2</f>
        <v>0</v>
      </c>
      <c r="M35">
        <f t="shared" ref="M35:M37" si="80">(I35-J35)/3.97/2*5.6/2</f>
        <v>0</v>
      </c>
      <c r="N35">
        <v>0</v>
      </c>
      <c r="O35">
        <v>0</v>
      </c>
      <c r="P35">
        <v>0</v>
      </c>
      <c r="Q35">
        <f t="shared" ref="Q35:Q37" si="81">IF(D35="E",$H35*$E35/3.1415927*180+$AA$1,0)</f>
        <v>0</v>
      </c>
      <c r="R35">
        <f t="shared" ref="R35:R37" si="82">IF(D35="F",$H35*$E35/3.1415927*180+$AA$1,0)</f>
        <v>0</v>
      </c>
      <c r="S35">
        <f t="shared" ref="S35:S37" si="83">IF(D35="D",$H35*$E35/3.1415927*180+$AA$1,0)</f>
        <v>-980</v>
      </c>
    </row>
    <row r="36" spans="1:19" x14ac:dyDescent="0.55000000000000004">
      <c r="A36">
        <v>0</v>
      </c>
      <c r="B36">
        <v>0</v>
      </c>
      <c r="C36">
        <v>0</v>
      </c>
      <c r="D36" t="s">
        <v>18</v>
      </c>
      <c r="E36">
        <f t="shared" si="75"/>
        <v>2.4197530864197527</v>
      </c>
      <c r="F36">
        <f>-F35</f>
        <v>-50</v>
      </c>
      <c r="G36">
        <f t="shared" si="74"/>
        <v>980</v>
      </c>
      <c r="H36">
        <f>SIGN(G36)*SUMIF(abaqus!A:A,CONCATENATE("=",ABS(F36)),abaqus!B:B)</f>
        <v>7.0685835749999999</v>
      </c>
      <c r="I36">
        <f t="shared" si="76"/>
        <v>0</v>
      </c>
      <c r="J36">
        <f t="shared" si="77"/>
        <v>0</v>
      </c>
      <c r="K36">
        <f t="shared" si="78"/>
        <v>7.0685835749999999</v>
      </c>
      <c r="L36">
        <f t="shared" si="79"/>
        <v>0</v>
      </c>
      <c r="M36">
        <f t="shared" si="80"/>
        <v>0</v>
      </c>
      <c r="N36">
        <v>0</v>
      </c>
      <c r="O36">
        <v>0</v>
      </c>
      <c r="P36">
        <v>0</v>
      </c>
      <c r="Q36">
        <f t="shared" si="81"/>
        <v>0</v>
      </c>
      <c r="R36">
        <f t="shared" si="82"/>
        <v>0</v>
      </c>
      <c r="S36">
        <f t="shared" si="83"/>
        <v>980</v>
      </c>
    </row>
    <row r="37" spans="1:19" x14ac:dyDescent="0.55000000000000004">
      <c r="A37">
        <v>0</v>
      </c>
      <c r="B37">
        <v>0</v>
      </c>
      <c r="C37">
        <v>0</v>
      </c>
      <c r="D37" t="s">
        <v>18</v>
      </c>
      <c r="E37">
        <f t="shared" si="75"/>
        <v>2.4197530864197527</v>
      </c>
      <c r="F37">
        <f>F36</f>
        <v>-50</v>
      </c>
      <c r="G37">
        <f t="shared" si="74"/>
        <v>-980</v>
      </c>
      <c r="H37">
        <f>SIGN(G37)*SUMIF(abaqus!A:A,CONCATENATE("=",ABS(F37)),abaqus!B:B)</f>
        <v>-7.0685835749999999</v>
      </c>
      <c r="I37">
        <f t="shared" si="76"/>
        <v>0</v>
      </c>
      <c r="J37">
        <f t="shared" si="77"/>
        <v>0</v>
      </c>
      <c r="K37">
        <f t="shared" si="78"/>
        <v>-7.0685835749999999</v>
      </c>
      <c r="L37">
        <f t="shared" si="79"/>
        <v>0</v>
      </c>
      <c r="M37">
        <f t="shared" si="80"/>
        <v>0</v>
      </c>
      <c r="N37">
        <v>0</v>
      </c>
      <c r="O37">
        <v>0</v>
      </c>
      <c r="P37">
        <v>0</v>
      </c>
      <c r="Q37">
        <f t="shared" si="81"/>
        <v>0</v>
      </c>
      <c r="R37">
        <f t="shared" si="82"/>
        <v>0</v>
      </c>
      <c r="S37">
        <f t="shared" si="83"/>
        <v>-980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B0FF9-7383-466F-A15F-CCD6A4BF91A4}">
  <sheetPr codeName="Sheet10"/>
  <dimension ref="A1:S37"/>
  <sheetViews>
    <sheetView zoomScale="83" zoomScaleNormal="83" workbookViewId="0">
      <selection activeCell="F37" sqref="F2:F37"/>
    </sheetView>
  </sheetViews>
  <sheetFormatPr defaultRowHeight="14.4" x14ac:dyDescent="0.55000000000000004"/>
  <cols>
    <col min="5" max="5" width="11.578125" bestFit="1" customWidth="1"/>
    <col min="10" max="14" width="10.734375" customWidth="1"/>
    <col min="17" max="17" width="10.7890625" customWidth="1"/>
  </cols>
  <sheetData>
    <row r="1" spans="1:19" x14ac:dyDescent="0.55000000000000004">
      <c r="A1" t="s">
        <v>1</v>
      </c>
      <c r="B1" t="s">
        <v>2</v>
      </c>
      <c r="C1" t="s">
        <v>3</v>
      </c>
      <c r="D1" t="s">
        <v>22</v>
      </c>
      <c r="E1" t="s">
        <v>12</v>
      </c>
      <c r="F1" t="s">
        <v>11</v>
      </c>
      <c r="G1" t="s">
        <v>23</v>
      </c>
      <c r="H1" t="s">
        <v>28</v>
      </c>
      <c r="I1" t="s">
        <v>29</v>
      </c>
      <c r="J1" t="s">
        <v>30</v>
      </c>
      <c r="K1" t="s">
        <v>31</v>
      </c>
      <c r="L1" t="s">
        <v>14</v>
      </c>
      <c r="M1" t="s">
        <v>15</v>
      </c>
      <c r="N1" t="s">
        <v>10</v>
      </c>
      <c r="O1" t="s">
        <v>8</v>
      </c>
      <c r="P1" t="s">
        <v>9</v>
      </c>
      <c r="Q1" t="s">
        <v>25</v>
      </c>
      <c r="R1" t="s">
        <v>26</v>
      </c>
      <c r="S1" t="s">
        <v>27</v>
      </c>
    </row>
    <row r="2" spans="1:19" x14ac:dyDescent="0.55000000000000004">
      <c r="A2">
        <v>0</v>
      </c>
      <c r="B2">
        <v>0</v>
      </c>
      <c r="C2">
        <v>0</v>
      </c>
      <c r="D2" t="s">
        <v>0</v>
      </c>
      <c r="E2">
        <v>1</v>
      </c>
      <c r="F2">
        <v>50</v>
      </c>
      <c r="G2">
        <f>H2*E2/3.1415927*180</f>
        <v>405</v>
      </c>
      <c r="H2">
        <f>SIGN(F2)*SUMIF(abaqus!A:A,CONCATENATE("=",ABS(F2)),abaqus!B:B)</f>
        <v>7.0685835749999999</v>
      </c>
      <c r="I2">
        <f>IF(D2="E",-H2,0)</f>
        <v>-7.0685835749999999</v>
      </c>
      <c r="J2">
        <f>IF(D2="F",H2,0)</f>
        <v>0</v>
      </c>
      <c r="K2">
        <f>IF(D2="D",H2,0)</f>
        <v>0</v>
      </c>
      <c r="L2">
        <f>(I2+J2)*0.5*5.6/2</f>
        <v>-9.8960170049999991</v>
      </c>
      <c r="M2">
        <f>(I2-J2)/3.97/2*5.6/2</f>
        <v>-2.4926994974811079</v>
      </c>
      <c r="N2">
        <v>-142.82115869018614</v>
      </c>
      <c r="O2">
        <v>-2.3990905873124517</v>
      </c>
      <c r="P2">
        <v>7.1331104975424475</v>
      </c>
      <c r="Q2">
        <f>IF(D2="E",$H2*$E2/3.1415927*180+$AA$1,0)</f>
        <v>405</v>
      </c>
      <c r="R2">
        <f>IF(D2="F",$H2*$E2/3.1415927*180+$AA$1,0)</f>
        <v>0</v>
      </c>
      <c r="S2">
        <f>IF(D2="D",$H2*$E2/3.1415927*180+$AA$1,0)</f>
        <v>0</v>
      </c>
    </row>
    <row r="3" spans="1:19" x14ac:dyDescent="0.55000000000000004">
      <c r="A3">
        <v>0</v>
      </c>
      <c r="B3">
        <v>0</v>
      </c>
      <c r="C3">
        <v>0</v>
      </c>
      <c r="D3" t="s">
        <v>0</v>
      </c>
      <c r="E3">
        <v>1</v>
      </c>
      <c r="F3">
        <f>F2</f>
        <v>50</v>
      </c>
      <c r="G3">
        <f t="shared" ref="G3:G37" si="0">H3*E3/3.1415927*180</f>
        <v>405</v>
      </c>
      <c r="H3">
        <f>SIGN(F3)*SUMIF(abaqus!A:A,CONCATENATE("=",ABS(F3)),abaqus!B:B)</f>
        <v>7.0685835749999999</v>
      </c>
      <c r="I3">
        <f t="shared" ref="I3:I5" si="1">IF(D3="E",-H3,0)</f>
        <v>-7.0685835749999999</v>
      </c>
      <c r="J3">
        <f t="shared" ref="J3:J37" si="2">IF(D3="F",H3,0)</f>
        <v>0</v>
      </c>
      <c r="K3">
        <f t="shared" ref="K3:K37" si="3">IF(D3="D",H3,0)</f>
        <v>0</v>
      </c>
      <c r="L3">
        <f t="shared" ref="L3:L37" si="4">(I3+J3)*0.5*5.6/2</f>
        <v>-9.8960170049999991</v>
      </c>
      <c r="M3">
        <f t="shared" ref="M3:M37" si="5">(I3-J3)/3.97/2*5.6/2</f>
        <v>-2.4926994974811079</v>
      </c>
      <c r="N3">
        <v>-142.82115869018614</v>
      </c>
      <c r="O3">
        <v>-2.3990905873124517</v>
      </c>
      <c r="P3">
        <v>7.1331104975424475</v>
      </c>
      <c r="Q3">
        <f>IF(D3="E",$H3*$E3/3.1415927*180+$AA$1,0)</f>
        <v>405</v>
      </c>
      <c r="R3">
        <f t="shared" ref="R3:R37" si="6">IF(D3="F",$H3*$E3/3.1415927*180+$AA$1,0)</f>
        <v>0</v>
      </c>
      <c r="S3">
        <f t="shared" ref="S3:S37" si="7">IF(D3="D",$H3*$E3/3.1415927*180+$AA$1,0)</f>
        <v>0</v>
      </c>
    </row>
    <row r="4" spans="1:19" x14ac:dyDescent="0.55000000000000004">
      <c r="A4">
        <v>0</v>
      </c>
      <c r="B4">
        <v>0</v>
      </c>
      <c r="C4">
        <v>0</v>
      </c>
      <c r="D4" t="s">
        <v>0</v>
      </c>
      <c r="E4">
        <v>1</v>
      </c>
      <c r="F4">
        <f>-F3</f>
        <v>-50</v>
      </c>
      <c r="G4">
        <f t="shared" si="0"/>
        <v>-405</v>
      </c>
      <c r="H4">
        <f>SIGN(F4)*SUMIF(abaqus!A:A,CONCATENATE("=",ABS(F4)),abaqus!B:B)</f>
        <v>-7.0685835749999999</v>
      </c>
      <c r="I4">
        <f t="shared" si="1"/>
        <v>7.0685835749999999</v>
      </c>
      <c r="J4">
        <f t="shared" si="2"/>
        <v>0</v>
      </c>
      <c r="K4">
        <f t="shared" si="3"/>
        <v>0</v>
      </c>
      <c r="L4">
        <f t="shared" si="4"/>
        <v>9.8960170049999991</v>
      </c>
      <c r="M4">
        <f t="shared" si="5"/>
        <v>2.4926994974811079</v>
      </c>
      <c r="N4">
        <v>142.82115869018614</v>
      </c>
      <c r="O4">
        <v>2.3990905873124517</v>
      </c>
      <c r="P4">
        <v>7.1331104975424475</v>
      </c>
      <c r="Q4">
        <f t="shared" ref="Q4:Q38" si="8">IF(D4="E",$H4*$E4/3.1415927*180+$AA$1,0)</f>
        <v>-405</v>
      </c>
      <c r="R4">
        <f t="shared" si="6"/>
        <v>0</v>
      </c>
      <c r="S4">
        <f t="shared" si="7"/>
        <v>0</v>
      </c>
    </row>
    <row r="5" spans="1:19" x14ac:dyDescent="0.55000000000000004">
      <c r="A5">
        <v>0</v>
      </c>
      <c r="B5">
        <v>0</v>
      </c>
      <c r="C5">
        <v>0</v>
      </c>
      <c r="D5" t="s">
        <v>0</v>
      </c>
      <c r="E5">
        <v>1</v>
      </c>
      <c r="F5">
        <f>F4</f>
        <v>-50</v>
      </c>
      <c r="G5">
        <f t="shared" si="0"/>
        <v>-405</v>
      </c>
      <c r="H5">
        <f>SIGN(F5)*SUMIF(abaqus!A:A,CONCATENATE("=",ABS(F5)),abaqus!B:B)</f>
        <v>-7.0685835749999999</v>
      </c>
      <c r="I5">
        <f t="shared" si="1"/>
        <v>7.0685835749999999</v>
      </c>
      <c r="J5">
        <f t="shared" si="2"/>
        <v>0</v>
      </c>
      <c r="K5">
        <f t="shared" si="3"/>
        <v>0</v>
      </c>
      <c r="L5">
        <f t="shared" si="4"/>
        <v>9.8960170049999991</v>
      </c>
      <c r="M5">
        <f t="shared" si="5"/>
        <v>2.4926994974811079</v>
      </c>
      <c r="N5">
        <v>142.82115869018614</v>
      </c>
      <c r="O5">
        <v>2.3990905873124517</v>
      </c>
      <c r="P5">
        <v>7.1331104975424475</v>
      </c>
      <c r="Q5">
        <f t="shared" si="8"/>
        <v>-405</v>
      </c>
      <c r="R5">
        <f t="shared" si="6"/>
        <v>0</v>
      </c>
      <c r="S5">
        <f t="shared" si="7"/>
        <v>0</v>
      </c>
    </row>
    <row r="6" spans="1:19" x14ac:dyDescent="0.55000000000000004">
      <c r="A6">
        <v>0</v>
      </c>
      <c r="B6">
        <v>0</v>
      </c>
      <c r="C6">
        <v>0</v>
      </c>
      <c r="D6" t="s">
        <v>0</v>
      </c>
      <c r="E6">
        <v>2</v>
      </c>
      <c r="F6">
        <f>-F5</f>
        <v>50</v>
      </c>
      <c r="G6">
        <f t="shared" si="0"/>
        <v>810</v>
      </c>
      <c r="H6">
        <f>SIGN(F6)*SUMIF(abaqus!A:A,CONCATENATE("=",ABS(F6)),abaqus!B:B)</f>
        <v>7.0685835749999999</v>
      </c>
      <c r="I6">
        <f>IF(D6="E",-H6,0)</f>
        <v>-7.0685835749999999</v>
      </c>
      <c r="J6">
        <f>IF(D6="F",H6,0)</f>
        <v>0</v>
      </c>
      <c r="K6">
        <f>IF(D6="D",H6,0)</f>
        <v>0</v>
      </c>
      <c r="L6">
        <f>(I6+J6)*0.5*5.6/2</f>
        <v>-9.8960170049999991</v>
      </c>
      <c r="M6">
        <f>(I6-J6)/3.97/2*5.6/2</f>
        <v>-2.4926994974811079</v>
      </c>
      <c r="N6">
        <v>-285.6423173803766</v>
      </c>
      <c r="O6">
        <v>3.8229660018402556</v>
      </c>
      <c r="P6">
        <v>2.8995643695707316</v>
      </c>
      <c r="Q6">
        <f>IF(D6="E",$H6*$E6/3.1415927*180+$AA$1,0)</f>
        <v>810</v>
      </c>
      <c r="R6">
        <f>IF(D6="F",$H6*$E6/3.1415927*180+$AA$1,0)</f>
        <v>0</v>
      </c>
      <c r="S6">
        <f>IF(D6="D",$H6*$E6/3.1415927*180+$AA$1,0)</f>
        <v>0</v>
      </c>
    </row>
    <row r="7" spans="1:19" x14ac:dyDescent="0.55000000000000004">
      <c r="A7">
        <v>0</v>
      </c>
      <c r="B7">
        <v>0</v>
      </c>
      <c r="C7">
        <v>0</v>
      </c>
      <c r="D7" t="s">
        <v>0</v>
      </c>
      <c r="E7">
        <v>2</v>
      </c>
      <c r="F7">
        <f>F6</f>
        <v>50</v>
      </c>
      <c r="G7">
        <f t="shared" si="0"/>
        <v>810</v>
      </c>
      <c r="H7">
        <f>SIGN(F7)*SUMIF(abaqus!A:A,CONCATENATE("=",ABS(F7)),abaqus!B:B)</f>
        <v>7.0685835749999999</v>
      </c>
      <c r="I7">
        <f t="shared" ref="I7:I9" si="9">IF(D7="E",-H7,0)</f>
        <v>-7.0685835749999999</v>
      </c>
      <c r="J7">
        <f t="shared" ref="J7:J9" si="10">IF(D7="F",H7,0)</f>
        <v>0</v>
      </c>
      <c r="K7">
        <f t="shared" ref="K7:K9" si="11">IF(D7="D",H7,0)</f>
        <v>0</v>
      </c>
      <c r="L7">
        <f t="shared" ref="L7:L9" si="12">(I7+J7)*0.5*5.6/2</f>
        <v>-9.8960170049999991</v>
      </c>
      <c r="M7">
        <f t="shared" ref="M7:M9" si="13">(I7-J7)/3.97/2*5.6/2</f>
        <v>-2.4926994974811079</v>
      </c>
      <c r="N7">
        <v>-285.6423173803766</v>
      </c>
      <c r="O7">
        <v>3.8229660018402556</v>
      </c>
      <c r="P7">
        <v>2.8995643695707316</v>
      </c>
      <c r="Q7">
        <f t="shared" ref="Q7:Q9" si="14">IF(D7="E",$H7*$E7/3.1415927*180+$AA$1,0)</f>
        <v>810</v>
      </c>
      <c r="R7">
        <f t="shared" ref="R7:R9" si="15">IF(D7="F",$H7*$E7/3.1415927*180+$AA$1,0)</f>
        <v>0</v>
      </c>
      <c r="S7">
        <f t="shared" ref="S7:S9" si="16">IF(D7="D",$H7*$E7/3.1415927*180+$AA$1,0)</f>
        <v>0</v>
      </c>
    </row>
    <row r="8" spans="1:19" x14ac:dyDescent="0.55000000000000004">
      <c r="A8">
        <v>0</v>
      </c>
      <c r="B8">
        <v>0</v>
      </c>
      <c r="C8">
        <v>0</v>
      </c>
      <c r="D8" t="s">
        <v>0</v>
      </c>
      <c r="E8">
        <v>2</v>
      </c>
      <c r="F8">
        <f>-F7</f>
        <v>-50</v>
      </c>
      <c r="G8">
        <f t="shared" si="0"/>
        <v>-810</v>
      </c>
      <c r="H8">
        <f>SIGN(F8)*SUMIF(abaqus!A:A,CONCATENATE("=",ABS(F8)),abaqus!B:B)</f>
        <v>-7.0685835749999999</v>
      </c>
      <c r="I8">
        <f t="shared" si="9"/>
        <v>7.0685835749999999</v>
      </c>
      <c r="J8">
        <f t="shared" si="10"/>
        <v>0</v>
      </c>
      <c r="K8">
        <f t="shared" si="11"/>
        <v>0</v>
      </c>
      <c r="L8">
        <f t="shared" si="12"/>
        <v>9.8960170049999991</v>
      </c>
      <c r="M8">
        <f t="shared" si="13"/>
        <v>2.4926994974811079</v>
      </c>
      <c r="N8">
        <v>285.6423173803766</v>
      </c>
      <c r="O8">
        <v>-3.8229660018402556</v>
      </c>
      <c r="P8">
        <v>2.8995643695707316</v>
      </c>
      <c r="Q8">
        <f t="shared" si="14"/>
        <v>-810</v>
      </c>
      <c r="R8">
        <f t="shared" si="15"/>
        <v>0</v>
      </c>
      <c r="S8">
        <f t="shared" si="16"/>
        <v>0</v>
      </c>
    </row>
    <row r="9" spans="1:19" x14ac:dyDescent="0.55000000000000004">
      <c r="A9">
        <v>0</v>
      </c>
      <c r="B9">
        <v>0</v>
      </c>
      <c r="C9">
        <v>0</v>
      </c>
      <c r="D9" t="s">
        <v>0</v>
      </c>
      <c r="E9">
        <v>2</v>
      </c>
      <c r="F9">
        <f>F8</f>
        <v>-50</v>
      </c>
      <c r="G9">
        <f t="shared" si="0"/>
        <v>-810</v>
      </c>
      <c r="H9">
        <f>SIGN(F9)*SUMIF(abaqus!A:A,CONCATENATE("=",ABS(F9)),abaqus!B:B)</f>
        <v>-7.0685835749999999</v>
      </c>
      <c r="I9">
        <f t="shared" si="9"/>
        <v>7.0685835749999999</v>
      </c>
      <c r="J9">
        <f t="shared" si="10"/>
        <v>0</v>
      </c>
      <c r="K9">
        <f t="shared" si="11"/>
        <v>0</v>
      </c>
      <c r="L9">
        <f t="shared" si="12"/>
        <v>9.8960170049999991</v>
      </c>
      <c r="M9">
        <f t="shared" si="13"/>
        <v>2.4926994974811079</v>
      </c>
      <c r="N9">
        <v>285.6423173803766</v>
      </c>
      <c r="O9">
        <v>-3.8229660018402556</v>
      </c>
      <c r="P9">
        <v>2.8995643695707316</v>
      </c>
      <c r="Q9">
        <f t="shared" si="14"/>
        <v>-810</v>
      </c>
      <c r="R9">
        <f t="shared" si="15"/>
        <v>0</v>
      </c>
      <c r="S9">
        <f t="shared" si="16"/>
        <v>0</v>
      </c>
    </row>
    <row r="10" spans="1:19" x14ac:dyDescent="0.55000000000000004">
      <c r="A10">
        <v>0</v>
      </c>
      <c r="B10">
        <v>0</v>
      </c>
      <c r="C10">
        <v>0</v>
      </c>
      <c r="D10" t="s">
        <v>0</v>
      </c>
      <c r="E10">
        <v>3</v>
      </c>
      <c r="F10">
        <v>50</v>
      </c>
      <c r="G10">
        <f t="shared" si="0"/>
        <v>1215.0000000000002</v>
      </c>
      <c r="H10">
        <f>SIGN(F10)*SUMIF(abaqus!A:A,CONCATENATE("=",ABS(F10)),abaqus!B:B)</f>
        <v>7.0685835749999999</v>
      </c>
      <c r="I10">
        <f>IF(D10="E",-H10,0)</f>
        <v>-7.0685835749999999</v>
      </c>
      <c r="J10">
        <f>IF(D10="F",H10,0)</f>
        <v>0</v>
      </c>
      <c r="K10">
        <f>IF(D10="D",H10,0)</f>
        <v>0</v>
      </c>
      <c r="L10">
        <f>(I10+J10)*0.5*5.6/2</f>
        <v>-9.8960170049999991</v>
      </c>
      <c r="M10">
        <f>(I10-J10)/3.97/2*5.6/2</f>
        <v>-2.4926994974811079</v>
      </c>
      <c r="N10">
        <v>-428.46347607047295</v>
      </c>
      <c r="O10">
        <v>-3.6928327469086497</v>
      </c>
      <c r="P10">
        <v>2.5126352284202436</v>
      </c>
      <c r="Q10">
        <f>IF(D10="E",$H10*$E10/3.1415927*180+$AA$1,0)</f>
        <v>1215.0000000000002</v>
      </c>
      <c r="R10">
        <f>IF(D10="F",$H10*$E10/3.1415927*180+$AA$1,0)</f>
        <v>0</v>
      </c>
      <c r="S10">
        <f>IF(D10="D",$H10*$E10/3.1415927*180+$AA$1,0)</f>
        <v>0</v>
      </c>
    </row>
    <row r="11" spans="1:19" x14ac:dyDescent="0.55000000000000004">
      <c r="A11">
        <v>0</v>
      </c>
      <c r="B11">
        <v>0</v>
      </c>
      <c r="C11">
        <v>0</v>
      </c>
      <c r="D11" t="s">
        <v>0</v>
      </c>
      <c r="E11">
        <v>3</v>
      </c>
      <c r="F11">
        <f>F10</f>
        <v>50</v>
      </c>
      <c r="G11">
        <f t="shared" si="0"/>
        <v>1215.0000000000002</v>
      </c>
      <c r="H11">
        <f>SIGN(F11)*SUMIF(abaqus!A:A,CONCATENATE("=",ABS(F11)),abaqus!B:B)</f>
        <v>7.0685835749999999</v>
      </c>
      <c r="I11">
        <f t="shared" ref="I11:I13" si="17">IF(D11="E",-H11,0)</f>
        <v>-7.0685835749999999</v>
      </c>
      <c r="J11">
        <f t="shared" ref="J11:J13" si="18">IF(D11="F",H11,0)</f>
        <v>0</v>
      </c>
      <c r="K11">
        <f t="shared" ref="K11:K13" si="19">IF(D11="D",H11,0)</f>
        <v>0</v>
      </c>
      <c r="L11">
        <f t="shared" ref="L11:L13" si="20">(I11+J11)*0.5*5.6/2</f>
        <v>-9.8960170049999991</v>
      </c>
      <c r="M11">
        <f t="shared" ref="M11:M13" si="21">(I11-J11)/3.97/2*5.6/2</f>
        <v>-2.4926994974811079</v>
      </c>
      <c r="N11">
        <v>-428.46347607047295</v>
      </c>
      <c r="O11">
        <v>-3.6928327469086497</v>
      </c>
      <c r="P11">
        <v>2.5126352284202436</v>
      </c>
      <c r="Q11">
        <f t="shared" ref="Q11:Q13" si="22">IF(D11="E",$H11*$E11/3.1415927*180+$AA$1,0)</f>
        <v>1215.0000000000002</v>
      </c>
      <c r="R11">
        <f t="shared" ref="R11:R13" si="23">IF(D11="F",$H11*$E11/3.1415927*180+$AA$1,0)</f>
        <v>0</v>
      </c>
      <c r="S11">
        <f t="shared" ref="S11:S13" si="24">IF(D11="D",$H11*$E11/3.1415927*180+$AA$1,0)</f>
        <v>0</v>
      </c>
    </row>
    <row r="12" spans="1:19" x14ac:dyDescent="0.55000000000000004">
      <c r="A12">
        <v>0</v>
      </c>
      <c r="B12">
        <v>0</v>
      </c>
      <c r="C12">
        <v>0</v>
      </c>
      <c r="D12" t="s">
        <v>0</v>
      </c>
      <c r="E12">
        <v>3</v>
      </c>
      <c r="F12">
        <f>-F11</f>
        <v>-50</v>
      </c>
      <c r="G12">
        <f t="shared" si="0"/>
        <v>-1215.0000000000002</v>
      </c>
      <c r="H12">
        <f>SIGN(F12)*SUMIF(abaqus!A:A,CONCATENATE("=",ABS(F12)),abaqus!B:B)</f>
        <v>-7.0685835749999999</v>
      </c>
      <c r="I12">
        <f t="shared" si="17"/>
        <v>7.0685835749999999</v>
      </c>
      <c r="J12">
        <f t="shared" si="18"/>
        <v>0</v>
      </c>
      <c r="K12">
        <f t="shared" si="19"/>
        <v>0</v>
      </c>
      <c r="L12">
        <f t="shared" si="20"/>
        <v>9.8960170049999991</v>
      </c>
      <c r="M12">
        <f t="shared" si="21"/>
        <v>2.4926994974811079</v>
      </c>
      <c r="N12">
        <v>428.46347607047295</v>
      </c>
      <c r="O12">
        <v>3.6928327469086497</v>
      </c>
      <c r="P12">
        <v>2.5126352284202436</v>
      </c>
      <c r="Q12">
        <f t="shared" si="22"/>
        <v>-1215.0000000000002</v>
      </c>
      <c r="R12">
        <f t="shared" si="23"/>
        <v>0</v>
      </c>
      <c r="S12">
        <f t="shared" si="24"/>
        <v>0</v>
      </c>
    </row>
    <row r="13" spans="1:19" x14ac:dyDescent="0.55000000000000004">
      <c r="A13">
        <v>0</v>
      </c>
      <c r="B13">
        <v>0</v>
      </c>
      <c r="C13">
        <v>0</v>
      </c>
      <c r="D13" t="s">
        <v>0</v>
      </c>
      <c r="E13">
        <v>3</v>
      </c>
      <c r="F13">
        <f>F12</f>
        <v>-50</v>
      </c>
      <c r="G13">
        <f t="shared" si="0"/>
        <v>-1215.0000000000002</v>
      </c>
      <c r="H13">
        <f>SIGN(F13)*SUMIF(abaqus!A:A,CONCATENATE("=",ABS(F13)),abaqus!B:B)</f>
        <v>-7.0685835749999999</v>
      </c>
      <c r="I13">
        <f t="shared" si="17"/>
        <v>7.0685835749999999</v>
      </c>
      <c r="J13">
        <f t="shared" si="18"/>
        <v>0</v>
      </c>
      <c r="K13">
        <f t="shared" si="19"/>
        <v>0</v>
      </c>
      <c r="L13">
        <f t="shared" si="20"/>
        <v>9.8960170049999991</v>
      </c>
      <c r="M13">
        <f t="shared" si="21"/>
        <v>2.4926994974811079</v>
      </c>
      <c r="N13">
        <v>428.46347607047295</v>
      </c>
      <c r="O13">
        <v>3.6928327469086497</v>
      </c>
      <c r="P13">
        <v>2.5126352284202436</v>
      </c>
      <c r="Q13">
        <f t="shared" si="22"/>
        <v>-1215.0000000000002</v>
      </c>
      <c r="R13">
        <f t="shared" si="23"/>
        <v>0</v>
      </c>
      <c r="S13">
        <f t="shared" si="24"/>
        <v>0</v>
      </c>
    </row>
    <row r="14" spans="1:19" x14ac:dyDescent="0.55000000000000004">
      <c r="A14">
        <v>0</v>
      </c>
      <c r="B14">
        <v>0</v>
      </c>
      <c r="C14">
        <v>0</v>
      </c>
      <c r="D14" t="s">
        <v>4</v>
      </c>
      <c r="E14">
        <v>1</v>
      </c>
      <c r="F14">
        <f>-F13</f>
        <v>50</v>
      </c>
      <c r="G14">
        <f t="shared" si="0"/>
        <v>405</v>
      </c>
      <c r="H14">
        <f>SIGN(F14)*SUMIF(abaqus!A:A,CONCATENATE("=",ABS(F14)),abaqus!B:B)</f>
        <v>7.0685835749999999</v>
      </c>
      <c r="I14">
        <f>IF(D14="E",-H14,0)</f>
        <v>0</v>
      </c>
      <c r="J14">
        <f>IF(D14="F",H14,0)</f>
        <v>7.0685835749999999</v>
      </c>
      <c r="K14">
        <f>IF(D14="D",H14,0)</f>
        <v>0</v>
      </c>
      <c r="L14">
        <f>(I14+J14)*0.5*5.6/2</f>
        <v>9.8960170049999991</v>
      </c>
      <c r="M14">
        <f>(I14-J14)/3.97/2*5.6/2</f>
        <v>-2.4926994974811079</v>
      </c>
      <c r="N14">
        <v>-142.82115869018614</v>
      </c>
      <c r="O14">
        <v>2.3990905873124517</v>
      </c>
      <c r="P14">
        <v>-7.1331104975424475</v>
      </c>
      <c r="Q14">
        <f>IF(D14="E",$H14*$E14/3.1415927*180+$AA$1,0)</f>
        <v>0</v>
      </c>
      <c r="R14">
        <f>IF(D14="F",$H14*$E14/3.1415927*180+$AA$1,0)</f>
        <v>405</v>
      </c>
      <c r="S14">
        <f>IF(D14="D",$H14*$E14/3.1415927*180+$AA$1,0)</f>
        <v>0</v>
      </c>
    </row>
    <row r="15" spans="1:19" x14ac:dyDescent="0.55000000000000004">
      <c r="A15">
        <v>0</v>
      </c>
      <c r="B15">
        <v>0</v>
      </c>
      <c r="C15">
        <v>0</v>
      </c>
      <c r="D15" t="s">
        <v>4</v>
      </c>
      <c r="E15">
        <v>1</v>
      </c>
      <c r="F15">
        <f>F14</f>
        <v>50</v>
      </c>
      <c r="G15">
        <f t="shared" si="0"/>
        <v>405</v>
      </c>
      <c r="H15">
        <f>SIGN(F15)*SUMIF(abaqus!A:A,CONCATENATE("=",ABS(F15)),abaqus!B:B)</f>
        <v>7.0685835749999999</v>
      </c>
      <c r="I15">
        <f t="shared" ref="I15:I17" si="25">IF(D15="E",-H15,0)</f>
        <v>0</v>
      </c>
      <c r="J15">
        <f t="shared" ref="J15:J25" si="26">IF(D15="F",H15,0)</f>
        <v>7.0685835749999999</v>
      </c>
      <c r="K15">
        <f t="shared" ref="K15:K25" si="27">IF(D15="D",H15,0)</f>
        <v>0</v>
      </c>
      <c r="L15">
        <f t="shared" ref="L15:L25" si="28">(I15+J15)*0.5*5.6/2</f>
        <v>9.8960170049999991</v>
      </c>
      <c r="M15">
        <f t="shared" ref="M15:M25" si="29">(I15-J15)/3.97/2*5.6/2</f>
        <v>-2.4926994974811079</v>
      </c>
      <c r="N15">
        <v>-142.82115869018614</v>
      </c>
      <c r="O15">
        <v>2.3990905873124517</v>
      </c>
      <c r="P15">
        <v>-7.1331104975424475</v>
      </c>
      <c r="Q15">
        <f t="shared" ref="Q15:Q25" si="30">IF(D15="E",$H15*$E15/3.1415927*180+$AA$1,0)</f>
        <v>0</v>
      </c>
      <c r="R15">
        <f t="shared" ref="R15:R25" si="31">IF(D15="F",$H15*$E15/3.1415927*180+$AA$1,0)</f>
        <v>405</v>
      </c>
      <c r="S15">
        <f t="shared" ref="S15:S25" si="32">IF(D15="D",$H15*$E15/3.1415927*180+$AA$1,0)</f>
        <v>0</v>
      </c>
    </row>
    <row r="16" spans="1:19" x14ac:dyDescent="0.55000000000000004">
      <c r="A16">
        <v>0</v>
      </c>
      <c r="B16">
        <v>0</v>
      </c>
      <c r="C16">
        <v>0</v>
      </c>
      <c r="D16" t="s">
        <v>4</v>
      </c>
      <c r="E16">
        <v>1</v>
      </c>
      <c r="F16">
        <f>-F15</f>
        <v>-50</v>
      </c>
      <c r="G16">
        <f t="shared" si="0"/>
        <v>-405</v>
      </c>
      <c r="H16">
        <f>SIGN(F16)*SUMIF(abaqus!A:A,CONCATENATE("=",ABS(F16)),abaqus!B:B)</f>
        <v>-7.0685835749999999</v>
      </c>
      <c r="I16">
        <f t="shared" si="25"/>
        <v>0</v>
      </c>
      <c r="J16">
        <f t="shared" si="26"/>
        <v>-7.0685835749999999</v>
      </c>
      <c r="K16">
        <f t="shared" si="27"/>
        <v>0</v>
      </c>
      <c r="L16">
        <f t="shared" si="28"/>
        <v>-9.8960170049999991</v>
      </c>
      <c r="M16">
        <f t="shared" si="29"/>
        <v>2.4926994974811079</v>
      </c>
      <c r="N16">
        <v>142.82115869018614</v>
      </c>
      <c r="O16">
        <v>-2.3990905873124517</v>
      </c>
      <c r="P16">
        <v>-7.1331104975424475</v>
      </c>
      <c r="Q16">
        <f t="shared" si="30"/>
        <v>0</v>
      </c>
      <c r="R16">
        <f t="shared" si="31"/>
        <v>-405</v>
      </c>
      <c r="S16">
        <f t="shared" si="32"/>
        <v>0</v>
      </c>
    </row>
    <row r="17" spans="1:19" x14ac:dyDescent="0.55000000000000004">
      <c r="A17">
        <v>0</v>
      </c>
      <c r="B17">
        <v>0</v>
      </c>
      <c r="C17">
        <v>0</v>
      </c>
      <c r="D17" t="s">
        <v>4</v>
      </c>
      <c r="E17">
        <v>1</v>
      </c>
      <c r="F17">
        <f>F16</f>
        <v>-50</v>
      </c>
      <c r="G17">
        <f t="shared" si="0"/>
        <v>-405</v>
      </c>
      <c r="H17">
        <f>SIGN(F17)*SUMIF(abaqus!A:A,CONCATENATE("=",ABS(F17)),abaqus!B:B)</f>
        <v>-7.0685835749999999</v>
      </c>
      <c r="I17">
        <f t="shared" si="25"/>
        <v>0</v>
      </c>
      <c r="J17">
        <f t="shared" si="26"/>
        <v>-7.0685835749999999</v>
      </c>
      <c r="K17">
        <f t="shared" si="27"/>
        <v>0</v>
      </c>
      <c r="L17">
        <f t="shared" si="28"/>
        <v>-9.8960170049999991</v>
      </c>
      <c r="M17">
        <f t="shared" si="29"/>
        <v>2.4926994974811079</v>
      </c>
      <c r="N17">
        <v>142.82115869018614</v>
      </c>
      <c r="O17">
        <v>-2.3990905873124517</v>
      </c>
      <c r="P17">
        <v>-7.1331104975424475</v>
      </c>
      <c r="Q17">
        <f t="shared" si="30"/>
        <v>0</v>
      </c>
      <c r="R17">
        <f t="shared" si="31"/>
        <v>-405</v>
      </c>
      <c r="S17">
        <f t="shared" si="32"/>
        <v>0</v>
      </c>
    </row>
    <row r="18" spans="1:19" x14ac:dyDescent="0.55000000000000004">
      <c r="A18">
        <v>0</v>
      </c>
      <c r="B18">
        <v>0</v>
      </c>
      <c r="C18">
        <v>0</v>
      </c>
      <c r="D18" t="s">
        <v>4</v>
      </c>
      <c r="E18">
        <v>2</v>
      </c>
      <c r="F18">
        <v>50</v>
      </c>
      <c r="G18">
        <f t="shared" si="0"/>
        <v>810</v>
      </c>
      <c r="H18">
        <f>SIGN(F18)*SUMIF(abaqus!A:A,CONCATENATE("=",ABS(F18)),abaqus!B:B)</f>
        <v>7.0685835749999999</v>
      </c>
      <c r="I18">
        <f>IF(D18="E",-H18,0)</f>
        <v>0</v>
      </c>
      <c r="J18">
        <f>IF(D18="F",H18,0)</f>
        <v>7.0685835749999999</v>
      </c>
      <c r="K18">
        <f>IF(D18="D",H18,0)</f>
        <v>0</v>
      </c>
      <c r="L18">
        <f>(I18+J18)*0.5*5.6/2</f>
        <v>9.8960170049999991</v>
      </c>
      <c r="M18">
        <f>(I18-J18)/3.97/2*5.6/2</f>
        <v>-2.4926994974811079</v>
      </c>
      <c r="N18">
        <v>-285.6423173803766</v>
      </c>
      <c r="O18">
        <v>-3.8229660018402556</v>
      </c>
      <c r="P18">
        <v>-2.8995643695707316</v>
      </c>
      <c r="Q18">
        <f>IF(D18="E",$H18*$E18/3.1415927*180+$AA$1,0)</f>
        <v>0</v>
      </c>
      <c r="R18">
        <f>IF(D18="F",$H18*$E18/3.1415927*180+$AA$1,0)</f>
        <v>810</v>
      </c>
      <c r="S18">
        <f>IF(D18="D",$H18*$E18/3.1415927*180+$AA$1,0)</f>
        <v>0</v>
      </c>
    </row>
    <row r="19" spans="1:19" x14ac:dyDescent="0.55000000000000004">
      <c r="A19">
        <v>0</v>
      </c>
      <c r="B19">
        <v>0</v>
      </c>
      <c r="C19">
        <v>0</v>
      </c>
      <c r="D19" t="s">
        <v>4</v>
      </c>
      <c r="E19">
        <v>2</v>
      </c>
      <c r="F19">
        <f>F18</f>
        <v>50</v>
      </c>
      <c r="G19">
        <f t="shared" si="0"/>
        <v>810</v>
      </c>
      <c r="H19">
        <f>SIGN(F19)*SUMIF(abaqus!A:A,CONCATENATE("=",ABS(F19)),abaqus!B:B)</f>
        <v>7.0685835749999999</v>
      </c>
      <c r="I19">
        <f t="shared" ref="I19:I21" si="33">IF(D19="E",-H19,0)</f>
        <v>0</v>
      </c>
      <c r="J19">
        <f t="shared" ref="J19:J21" si="34">IF(D19="F",H19,0)</f>
        <v>7.0685835749999999</v>
      </c>
      <c r="K19">
        <f t="shared" ref="K19:K21" si="35">IF(D19="D",H19,0)</f>
        <v>0</v>
      </c>
      <c r="L19">
        <f t="shared" ref="L19:L21" si="36">(I19+J19)*0.5*5.6/2</f>
        <v>9.8960170049999991</v>
      </c>
      <c r="M19">
        <f t="shared" ref="M19:M21" si="37">(I19-J19)/3.97/2*5.6/2</f>
        <v>-2.4926994974811079</v>
      </c>
      <c r="N19">
        <v>-285.6423173803766</v>
      </c>
      <c r="O19">
        <v>-3.8229660018402556</v>
      </c>
      <c r="P19">
        <v>-2.8995643695707316</v>
      </c>
      <c r="Q19">
        <f t="shared" ref="Q19:Q21" si="38">IF(D19="E",$H19*$E19/3.1415927*180+$AA$1,0)</f>
        <v>0</v>
      </c>
      <c r="R19">
        <f t="shared" ref="R19:R21" si="39">IF(D19="F",$H19*$E19/3.1415927*180+$AA$1,0)</f>
        <v>810</v>
      </c>
      <c r="S19">
        <f t="shared" ref="S19:S21" si="40">IF(D19="D",$H19*$E19/3.1415927*180+$AA$1,0)</f>
        <v>0</v>
      </c>
    </row>
    <row r="20" spans="1:19" x14ac:dyDescent="0.55000000000000004">
      <c r="A20">
        <v>0</v>
      </c>
      <c r="B20">
        <v>0</v>
      </c>
      <c r="C20">
        <v>0</v>
      </c>
      <c r="D20" t="s">
        <v>4</v>
      </c>
      <c r="E20">
        <v>2</v>
      </c>
      <c r="F20">
        <f>-F19</f>
        <v>-50</v>
      </c>
      <c r="G20">
        <f t="shared" si="0"/>
        <v>-810</v>
      </c>
      <c r="H20">
        <f>SIGN(F20)*SUMIF(abaqus!A:A,CONCATENATE("=",ABS(F20)),abaqus!B:B)</f>
        <v>-7.0685835749999999</v>
      </c>
      <c r="I20">
        <f t="shared" si="33"/>
        <v>0</v>
      </c>
      <c r="J20">
        <f t="shared" si="34"/>
        <v>-7.0685835749999999</v>
      </c>
      <c r="K20">
        <f t="shared" si="35"/>
        <v>0</v>
      </c>
      <c r="L20">
        <f t="shared" si="36"/>
        <v>-9.8960170049999991</v>
      </c>
      <c r="M20">
        <f t="shared" si="37"/>
        <v>2.4926994974811079</v>
      </c>
      <c r="N20">
        <v>285.6423173803766</v>
      </c>
      <c r="O20">
        <v>3.8229660018402556</v>
      </c>
      <c r="P20">
        <v>-2.8995643695707316</v>
      </c>
      <c r="Q20">
        <f t="shared" si="38"/>
        <v>0</v>
      </c>
      <c r="R20">
        <f t="shared" si="39"/>
        <v>-810</v>
      </c>
      <c r="S20">
        <f t="shared" si="40"/>
        <v>0</v>
      </c>
    </row>
    <row r="21" spans="1:19" x14ac:dyDescent="0.55000000000000004">
      <c r="A21">
        <v>0</v>
      </c>
      <c r="B21">
        <v>0</v>
      </c>
      <c r="C21">
        <v>0</v>
      </c>
      <c r="D21" t="s">
        <v>4</v>
      </c>
      <c r="E21">
        <v>2</v>
      </c>
      <c r="F21">
        <f>F20</f>
        <v>-50</v>
      </c>
      <c r="G21">
        <f t="shared" si="0"/>
        <v>-810</v>
      </c>
      <c r="H21">
        <f>SIGN(F21)*SUMIF(abaqus!A:A,CONCATENATE("=",ABS(F21)),abaqus!B:B)</f>
        <v>-7.0685835749999999</v>
      </c>
      <c r="I21">
        <f t="shared" si="33"/>
        <v>0</v>
      </c>
      <c r="J21">
        <f t="shared" si="34"/>
        <v>-7.0685835749999999</v>
      </c>
      <c r="K21">
        <f t="shared" si="35"/>
        <v>0</v>
      </c>
      <c r="L21">
        <f t="shared" si="36"/>
        <v>-9.8960170049999991</v>
      </c>
      <c r="M21">
        <f t="shared" si="37"/>
        <v>2.4926994974811079</v>
      </c>
      <c r="N21">
        <v>285.6423173803766</v>
      </c>
      <c r="O21">
        <v>3.8229660018402556</v>
      </c>
      <c r="P21">
        <v>-2.8995643695707316</v>
      </c>
      <c r="Q21">
        <f t="shared" si="38"/>
        <v>0</v>
      </c>
      <c r="R21">
        <f t="shared" si="39"/>
        <v>-810</v>
      </c>
      <c r="S21">
        <f t="shared" si="40"/>
        <v>0</v>
      </c>
    </row>
    <row r="22" spans="1:19" x14ac:dyDescent="0.55000000000000004">
      <c r="A22">
        <v>0</v>
      </c>
      <c r="B22">
        <v>0</v>
      </c>
      <c r="C22">
        <v>0</v>
      </c>
      <c r="D22" t="s">
        <v>4</v>
      </c>
      <c r="E22">
        <v>3</v>
      </c>
      <c r="F22">
        <f>-F21</f>
        <v>50</v>
      </c>
      <c r="G22">
        <f t="shared" si="0"/>
        <v>1215.0000000000002</v>
      </c>
      <c r="H22">
        <f>SIGN(F22)*SUMIF(abaqus!A:A,CONCATENATE("=",ABS(F22)),abaqus!B:B)</f>
        <v>7.0685835749999999</v>
      </c>
      <c r="I22">
        <f>IF(D22="E",-H22,0)</f>
        <v>0</v>
      </c>
      <c r="J22">
        <f>IF(D22="F",H22,0)</f>
        <v>7.0685835749999999</v>
      </c>
      <c r="K22">
        <f>IF(D22="D",H22,0)</f>
        <v>0</v>
      </c>
      <c r="L22">
        <f>(I22+J22)*0.5*5.6/2</f>
        <v>9.8960170049999991</v>
      </c>
      <c r="M22">
        <f>(I22-J22)/3.97/2*5.6/2</f>
        <v>-2.4926994974811079</v>
      </c>
      <c r="N22">
        <v>-428.46347607047295</v>
      </c>
      <c r="O22">
        <v>3.6928327469086497</v>
      </c>
      <c r="P22">
        <v>-2.5126352284202436</v>
      </c>
      <c r="Q22">
        <f>IF(D22="E",$H22*$E22/3.1415927*180+$AA$1,0)</f>
        <v>0</v>
      </c>
      <c r="R22">
        <f>IF(D22="F",$H22*$E22/3.1415927*180+$AA$1,0)</f>
        <v>1215.0000000000002</v>
      </c>
      <c r="S22">
        <f>IF(D22="D",$H22*$E22/3.1415927*180+$AA$1,0)</f>
        <v>0</v>
      </c>
    </row>
    <row r="23" spans="1:19" x14ac:dyDescent="0.55000000000000004">
      <c r="A23">
        <v>0</v>
      </c>
      <c r="B23">
        <v>0</v>
      </c>
      <c r="C23">
        <v>0</v>
      </c>
      <c r="D23" t="s">
        <v>4</v>
      </c>
      <c r="E23">
        <v>3</v>
      </c>
      <c r="F23">
        <f>F22</f>
        <v>50</v>
      </c>
      <c r="G23">
        <f t="shared" si="0"/>
        <v>1215.0000000000002</v>
      </c>
      <c r="H23">
        <f>SIGN(F23)*SUMIF(abaqus!A:A,CONCATENATE("=",ABS(F23)),abaqus!B:B)</f>
        <v>7.0685835749999999</v>
      </c>
      <c r="I23">
        <f t="shared" ref="I23:I25" si="41">IF(D23="E",-H23,0)</f>
        <v>0</v>
      </c>
      <c r="J23">
        <f t="shared" ref="J23:J25" si="42">IF(D23="F",H23,0)</f>
        <v>7.0685835749999999</v>
      </c>
      <c r="K23">
        <f t="shared" ref="K23:K25" si="43">IF(D23="D",H23,0)</f>
        <v>0</v>
      </c>
      <c r="L23">
        <f t="shared" ref="L23:L25" si="44">(I23+J23)*0.5*5.6/2</f>
        <v>9.8960170049999991</v>
      </c>
      <c r="M23">
        <f t="shared" ref="M23:M25" si="45">(I23-J23)/3.97/2*5.6/2</f>
        <v>-2.4926994974811079</v>
      </c>
      <c r="N23">
        <v>-428.46347607047295</v>
      </c>
      <c r="O23">
        <v>3.6928327469086497</v>
      </c>
      <c r="P23">
        <v>-2.5126352284202436</v>
      </c>
      <c r="Q23">
        <f t="shared" ref="Q23:Q25" si="46">IF(D23="E",$H23*$E23/3.1415927*180+$AA$1,0)</f>
        <v>0</v>
      </c>
      <c r="R23">
        <f t="shared" ref="R23:R25" si="47">IF(D23="F",$H23*$E23/3.1415927*180+$AA$1,0)</f>
        <v>1215.0000000000002</v>
      </c>
      <c r="S23">
        <f t="shared" ref="S23:S25" si="48">IF(D23="D",$H23*$E23/3.1415927*180+$AA$1,0)</f>
        <v>0</v>
      </c>
    </row>
    <row r="24" spans="1:19" x14ac:dyDescent="0.55000000000000004">
      <c r="A24">
        <v>0</v>
      </c>
      <c r="B24">
        <v>0</v>
      </c>
      <c r="C24">
        <v>0</v>
      </c>
      <c r="D24" t="s">
        <v>4</v>
      </c>
      <c r="E24">
        <v>3</v>
      </c>
      <c r="F24">
        <f>-F23</f>
        <v>-50</v>
      </c>
      <c r="G24">
        <f t="shared" si="0"/>
        <v>-1215.0000000000002</v>
      </c>
      <c r="H24">
        <f>SIGN(F24)*SUMIF(abaqus!A:A,CONCATENATE("=",ABS(F24)),abaqus!B:B)</f>
        <v>-7.0685835749999999</v>
      </c>
      <c r="I24">
        <f t="shared" si="41"/>
        <v>0</v>
      </c>
      <c r="J24">
        <f t="shared" si="42"/>
        <v>-7.0685835749999999</v>
      </c>
      <c r="K24">
        <f t="shared" si="43"/>
        <v>0</v>
      </c>
      <c r="L24">
        <f t="shared" si="44"/>
        <v>-9.8960170049999991</v>
      </c>
      <c r="M24">
        <f t="shared" si="45"/>
        <v>2.4926994974811079</v>
      </c>
      <c r="N24">
        <v>428.46347607047295</v>
      </c>
      <c r="O24">
        <v>-3.6928327469086497</v>
      </c>
      <c r="P24">
        <v>-2.5126352284202436</v>
      </c>
      <c r="Q24">
        <f t="shared" si="46"/>
        <v>0</v>
      </c>
      <c r="R24">
        <f t="shared" si="47"/>
        <v>-1215.0000000000002</v>
      </c>
      <c r="S24">
        <f t="shared" si="48"/>
        <v>0</v>
      </c>
    </row>
    <row r="25" spans="1:19" x14ac:dyDescent="0.55000000000000004">
      <c r="A25">
        <v>0</v>
      </c>
      <c r="B25">
        <v>0</v>
      </c>
      <c r="C25">
        <v>0</v>
      </c>
      <c r="D25" t="s">
        <v>4</v>
      </c>
      <c r="E25">
        <v>3</v>
      </c>
      <c r="F25">
        <f>F24</f>
        <v>-50</v>
      </c>
      <c r="G25">
        <f t="shared" si="0"/>
        <v>-1215.0000000000002</v>
      </c>
      <c r="H25">
        <f>SIGN(F25)*SUMIF(abaqus!A:A,CONCATENATE("=",ABS(F25)),abaqus!B:B)</f>
        <v>-7.0685835749999999</v>
      </c>
      <c r="I25">
        <f t="shared" si="41"/>
        <v>0</v>
      </c>
      <c r="J25">
        <f t="shared" si="42"/>
        <v>-7.0685835749999999</v>
      </c>
      <c r="K25">
        <f t="shared" si="43"/>
        <v>0</v>
      </c>
      <c r="L25">
        <f t="shared" si="44"/>
        <v>-9.8960170049999991</v>
      </c>
      <c r="M25">
        <f t="shared" si="45"/>
        <v>2.4926994974811079</v>
      </c>
      <c r="N25">
        <v>428.46347607047295</v>
      </c>
      <c r="O25">
        <v>-3.6928327469086497</v>
      </c>
      <c r="P25">
        <v>-2.5126352284202436</v>
      </c>
      <c r="Q25">
        <f t="shared" si="46"/>
        <v>0</v>
      </c>
      <c r="R25">
        <f t="shared" si="47"/>
        <v>-1215.0000000000002</v>
      </c>
      <c r="S25">
        <f t="shared" si="48"/>
        <v>0</v>
      </c>
    </row>
    <row r="26" spans="1:19" x14ac:dyDescent="0.55000000000000004">
      <c r="A26">
        <v>0</v>
      </c>
      <c r="B26">
        <v>0</v>
      </c>
      <c r="C26">
        <v>0</v>
      </c>
      <c r="D26" t="s">
        <v>18</v>
      </c>
      <c r="E26">
        <v>1</v>
      </c>
      <c r="F26">
        <v>50</v>
      </c>
      <c r="G26">
        <f t="shared" si="0"/>
        <v>405</v>
      </c>
      <c r="H26">
        <f>SIGN(F26)*SUMIF(abaqus!A:A,CONCATENATE("=",ABS(F26)),abaqus!B:B)</f>
        <v>7.0685835749999999</v>
      </c>
      <c r="I26">
        <f>IF(D26="E",-H26,0)</f>
        <v>0</v>
      </c>
      <c r="J26">
        <f>IF(D26="F",H26,0)</f>
        <v>0</v>
      </c>
      <c r="K26">
        <f>IF(D26="D",H26,0)</f>
        <v>7.0685835749999999</v>
      </c>
      <c r="L26">
        <f>(I26+J26)*0.5*5.6/2</f>
        <v>0</v>
      </c>
      <c r="M26">
        <f>(I26-J26)/3.97/2*5.6/2</f>
        <v>0</v>
      </c>
      <c r="N26">
        <v>0</v>
      </c>
      <c r="O26">
        <v>0</v>
      </c>
      <c r="P26">
        <v>0</v>
      </c>
      <c r="Q26">
        <f>IF(D26="E",$H26*$E26/3.1415927*180+$AA$1,0)</f>
        <v>0</v>
      </c>
      <c r="R26">
        <f>IF(D26="F",$H26*$E26/3.1415927*180+$AA$1,0)</f>
        <v>0</v>
      </c>
      <c r="S26">
        <f>IF(D26="D",$H26*$E26/3.1415927*180+$AA$1,0)</f>
        <v>405</v>
      </c>
    </row>
    <row r="27" spans="1:19" x14ac:dyDescent="0.55000000000000004">
      <c r="A27">
        <v>0</v>
      </c>
      <c r="B27">
        <v>0</v>
      </c>
      <c r="C27">
        <v>0</v>
      </c>
      <c r="D27" t="s">
        <v>18</v>
      </c>
      <c r="E27">
        <v>1</v>
      </c>
      <c r="F27">
        <f>F26</f>
        <v>50</v>
      </c>
      <c r="G27">
        <f t="shared" si="0"/>
        <v>405</v>
      </c>
      <c r="H27">
        <f>SIGN(F27)*SUMIF(abaqus!A:A,CONCATENATE("=",ABS(F27)),abaqus!B:B)</f>
        <v>7.0685835749999999</v>
      </c>
      <c r="I27">
        <f t="shared" ref="I27:I29" si="49">IF(D27="E",-H27,0)</f>
        <v>0</v>
      </c>
      <c r="J27">
        <f t="shared" ref="J27:J37" si="50">IF(D27="F",H27,0)</f>
        <v>0</v>
      </c>
      <c r="K27">
        <f t="shared" ref="K27:K37" si="51">IF(D27="D",H27,0)</f>
        <v>7.0685835749999999</v>
      </c>
      <c r="L27">
        <f t="shared" ref="L27:L37" si="52">(I27+J27)*0.5*5.6/2</f>
        <v>0</v>
      </c>
      <c r="M27">
        <f t="shared" ref="M27:M37" si="53">(I27-J27)/3.97/2*5.6/2</f>
        <v>0</v>
      </c>
      <c r="N27">
        <v>0</v>
      </c>
      <c r="O27">
        <v>0</v>
      </c>
      <c r="P27">
        <v>0</v>
      </c>
      <c r="Q27">
        <f t="shared" ref="Q27:Q37" si="54">IF(D27="E",$H27*$E27/3.1415927*180+$AA$1,0)</f>
        <v>0</v>
      </c>
      <c r="R27">
        <f t="shared" ref="R27:R37" si="55">IF(D27="F",$H27*$E27/3.1415927*180+$AA$1,0)</f>
        <v>0</v>
      </c>
      <c r="S27">
        <f t="shared" ref="S27:S37" si="56">IF(D27="D",$H27*$E27/3.1415927*180+$AA$1,0)</f>
        <v>405</v>
      </c>
    </row>
    <row r="28" spans="1:19" x14ac:dyDescent="0.55000000000000004">
      <c r="A28">
        <v>0</v>
      </c>
      <c r="B28">
        <v>0</v>
      </c>
      <c r="C28">
        <v>0</v>
      </c>
      <c r="D28" t="s">
        <v>18</v>
      </c>
      <c r="E28">
        <v>1</v>
      </c>
      <c r="F28">
        <f>-F27</f>
        <v>-50</v>
      </c>
      <c r="G28">
        <f t="shared" si="0"/>
        <v>-405</v>
      </c>
      <c r="H28">
        <f>SIGN(F28)*SUMIF(abaqus!A:A,CONCATENATE("=",ABS(F28)),abaqus!B:B)</f>
        <v>-7.0685835749999999</v>
      </c>
      <c r="I28">
        <f t="shared" si="49"/>
        <v>0</v>
      </c>
      <c r="J28">
        <f t="shared" si="50"/>
        <v>0</v>
      </c>
      <c r="K28">
        <f t="shared" si="51"/>
        <v>-7.0685835749999999</v>
      </c>
      <c r="L28">
        <f t="shared" si="52"/>
        <v>0</v>
      </c>
      <c r="M28">
        <f t="shared" si="53"/>
        <v>0</v>
      </c>
      <c r="N28">
        <v>0</v>
      </c>
      <c r="O28">
        <v>0</v>
      </c>
      <c r="P28">
        <v>0</v>
      </c>
      <c r="Q28">
        <f t="shared" si="54"/>
        <v>0</v>
      </c>
      <c r="R28">
        <f t="shared" si="55"/>
        <v>0</v>
      </c>
      <c r="S28">
        <f t="shared" si="56"/>
        <v>-405</v>
      </c>
    </row>
    <row r="29" spans="1:19" x14ac:dyDescent="0.55000000000000004">
      <c r="A29">
        <v>0</v>
      </c>
      <c r="B29">
        <v>0</v>
      </c>
      <c r="C29">
        <v>0</v>
      </c>
      <c r="D29" t="s">
        <v>18</v>
      </c>
      <c r="E29">
        <v>1</v>
      </c>
      <c r="F29">
        <f>F28</f>
        <v>-50</v>
      </c>
      <c r="G29">
        <f t="shared" si="0"/>
        <v>-405</v>
      </c>
      <c r="H29">
        <f>SIGN(F29)*SUMIF(abaqus!A:A,CONCATENATE("=",ABS(F29)),abaqus!B:B)</f>
        <v>-7.0685835749999999</v>
      </c>
      <c r="I29">
        <f t="shared" si="49"/>
        <v>0</v>
      </c>
      <c r="J29">
        <f t="shared" si="50"/>
        <v>0</v>
      </c>
      <c r="K29">
        <f t="shared" si="51"/>
        <v>-7.0685835749999999</v>
      </c>
      <c r="L29">
        <f t="shared" si="52"/>
        <v>0</v>
      </c>
      <c r="M29">
        <f t="shared" si="53"/>
        <v>0</v>
      </c>
      <c r="N29">
        <v>0</v>
      </c>
      <c r="O29">
        <v>0</v>
      </c>
      <c r="P29">
        <v>0</v>
      </c>
      <c r="Q29">
        <f t="shared" si="54"/>
        <v>0</v>
      </c>
      <c r="R29">
        <f t="shared" si="55"/>
        <v>0</v>
      </c>
      <c r="S29">
        <f t="shared" si="56"/>
        <v>-405</v>
      </c>
    </row>
    <row r="30" spans="1:19" x14ac:dyDescent="0.55000000000000004">
      <c r="A30">
        <v>0</v>
      </c>
      <c r="B30">
        <v>0</v>
      </c>
      <c r="C30">
        <v>0</v>
      </c>
      <c r="D30" t="s">
        <v>18</v>
      </c>
      <c r="E30">
        <v>2</v>
      </c>
      <c r="F30">
        <f>-F29</f>
        <v>50</v>
      </c>
      <c r="G30">
        <f t="shared" si="0"/>
        <v>810</v>
      </c>
      <c r="H30">
        <f>SIGN(F30)*SUMIF(abaqus!A:A,CONCATENATE("=",ABS(F30)),abaqus!B:B)</f>
        <v>7.0685835749999999</v>
      </c>
      <c r="I30">
        <f>IF(D30="E",-H30,0)</f>
        <v>0</v>
      </c>
      <c r="J30">
        <f>IF(D30="F",H30,0)</f>
        <v>0</v>
      </c>
      <c r="K30">
        <f>IF(D30="D",H30,0)</f>
        <v>7.0685835749999999</v>
      </c>
      <c r="L30">
        <f>(I30+J30)*0.5*5.6/2</f>
        <v>0</v>
      </c>
      <c r="M30">
        <f>(I30-J30)/3.97/2*5.6/2</f>
        <v>0</v>
      </c>
      <c r="N30">
        <v>0</v>
      </c>
      <c r="O30">
        <v>0</v>
      </c>
      <c r="P30">
        <v>0</v>
      </c>
      <c r="Q30">
        <f>IF(D30="E",$H30*$E30/3.1415927*180+$AA$1,0)</f>
        <v>0</v>
      </c>
      <c r="R30">
        <f>IF(D30="F",$H30*$E30/3.1415927*180+$AA$1,0)</f>
        <v>0</v>
      </c>
      <c r="S30">
        <f>IF(D30="D",$H30*$E30/3.1415927*180+$AA$1,0)</f>
        <v>810</v>
      </c>
    </row>
    <row r="31" spans="1:19" x14ac:dyDescent="0.55000000000000004">
      <c r="A31">
        <v>0</v>
      </c>
      <c r="B31">
        <v>0</v>
      </c>
      <c r="C31">
        <v>0</v>
      </c>
      <c r="D31" t="s">
        <v>18</v>
      </c>
      <c r="E31">
        <v>2</v>
      </c>
      <c r="F31">
        <f>F30</f>
        <v>50</v>
      </c>
      <c r="G31">
        <f t="shared" si="0"/>
        <v>810</v>
      </c>
      <c r="H31">
        <f>SIGN(F31)*SUMIF(abaqus!A:A,CONCATENATE("=",ABS(F31)),abaqus!B:B)</f>
        <v>7.0685835749999999</v>
      </c>
      <c r="I31">
        <f t="shared" ref="I31:I33" si="57">IF(D31="E",-H31,0)</f>
        <v>0</v>
      </c>
      <c r="J31">
        <f t="shared" ref="J31:J33" si="58">IF(D31="F",H31,0)</f>
        <v>0</v>
      </c>
      <c r="K31">
        <f t="shared" ref="K31:K33" si="59">IF(D31="D",H31,0)</f>
        <v>7.0685835749999999</v>
      </c>
      <c r="L31">
        <f t="shared" ref="L31:L33" si="60">(I31+J31)*0.5*5.6/2</f>
        <v>0</v>
      </c>
      <c r="M31">
        <f t="shared" ref="M31:M33" si="61">(I31-J31)/3.97/2*5.6/2</f>
        <v>0</v>
      </c>
      <c r="N31">
        <v>0</v>
      </c>
      <c r="O31">
        <v>0</v>
      </c>
      <c r="P31">
        <v>0</v>
      </c>
      <c r="Q31">
        <f t="shared" ref="Q31:Q33" si="62">IF(D31="E",$H31*$E31/3.1415927*180+$AA$1,0)</f>
        <v>0</v>
      </c>
      <c r="R31">
        <f t="shared" ref="R31:R33" si="63">IF(D31="F",$H31*$E31/3.1415927*180+$AA$1,0)</f>
        <v>0</v>
      </c>
      <c r="S31">
        <f t="shared" ref="S31:S33" si="64">IF(D31="D",$H31*$E31/3.1415927*180+$AA$1,0)</f>
        <v>810</v>
      </c>
    </row>
    <row r="32" spans="1:19" x14ac:dyDescent="0.55000000000000004">
      <c r="A32">
        <v>0</v>
      </c>
      <c r="B32">
        <v>0</v>
      </c>
      <c r="C32">
        <v>0</v>
      </c>
      <c r="D32" t="s">
        <v>18</v>
      </c>
      <c r="E32">
        <v>2</v>
      </c>
      <c r="F32">
        <f>-F31</f>
        <v>-50</v>
      </c>
      <c r="G32">
        <f t="shared" si="0"/>
        <v>-810</v>
      </c>
      <c r="H32">
        <f>SIGN(F32)*SUMIF(abaqus!A:A,CONCATENATE("=",ABS(F32)),abaqus!B:B)</f>
        <v>-7.0685835749999999</v>
      </c>
      <c r="I32">
        <f t="shared" si="57"/>
        <v>0</v>
      </c>
      <c r="J32">
        <f t="shared" si="58"/>
        <v>0</v>
      </c>
      <c r="K32">
        <f t="shared" si="59"/>
        <v>-7.0685835749999999</v>
      </c>
      <c r="L32">
        <f t="shared" si="60"/>
        <v>0</v>
      </c>
      <c r="M32">
        <f t="shared" si="61"/>
        <v>0</v>
      </c>
      <c r="N32">
        <v>0</v>
      </c>
      <c r="O32">
        <v>0</v>
      </c>
      <c r="P32">
        <v>0</v>
      </c>
      <c r="Q32">
        <f t="shared" si="62"/>
        <v>0</v>
      </c>
      <c r="R32">
        <f t="shared" si="63"/>
        <v>0</v>
      </c>
      <c r="S32">
        <f t="shared" si="64"/>
        <v>-810</v>
      </c>
    </row>
    <row r="33" spans="1:19" x14ac:dyDescent="0.55000000000000004">
      <c r="A33">
        <v>0</v>
      </c>
      <c r="B33">
        <v>0</v>
      </c>
      <c r="C33">
        <v>0</v>
      </c>
      <c r="D33" t="s">
        <v>18</v>
      </c>
      <c r="E33">
        <v>2</v>
      </c>
      <c r="F33">
        <f>F32</f>
        <v>-50</v>
      </c>
      <c r="G33">
        <f t="shared" si="0"/>
        <v>-810</v>
      </c>
      <c r="H33">
        <f>SIGN(F33)*SUMIF(abaqus!A:A,CONCATENATE("=",ABS(F33)),abaqus!B:B)</f>
        <v>-7.0685835749999999</v>
      </c>
      <c r="I33">
        <f t="shared" si="57"/>
        <v>0</v>
      </c>
      <c r="J33">
        <f t="shared" si="58"/>
        <v>0</v>
      </c>
      <c r="K33">
        <f t="shared" si="59"/>
        <v>-7.0685835749999999</v>
      </c>
      <c r="L33">
        <f t="shared" si="60"/>
        <v>0</v>
      </c>
      <c r="M33">
        <f t="shared" si="61"/>
        <v>0</v>
      </c>
      <c r="N33">
        <v>0</v>
      </c>
      <c r="O33">
        <v>0</v>
      </c>
      <c r="P33">
        <v>0</v>
      </c>
      <c r="Q33">
        <f t="shared" si="62"/>
        <v>0</v>
      </c>
      <c r="R33">
        <f t="shared" si="63"/>
        <v>0</v>
      </c>
      <c r="S33">
        <f t="shared" si="64"/>
        <v>-810</v>
      </c>
    </row>
    <row r="34" spans="1:19" x14ac:dyDescent="0.55000000000000004">
      <c r="A34">
        <v>0</v>
      </c>
      <c r="B34">
        <v>0</v>
      </c>
      <c r="C34">
        <v>0</v>
      </c>
      <c r="D34" t="s">
        <v>18</v>
      </c>
      <c r="E34">
        <v>3</v>
      </c>
      <c r="F34">
        <v>50</v>
      </c>
      <c r="G34">
        <f t="shared" si="0"/>
        <v>1215.0000000000002</v>
      </c>
      <c r="H34">
        <f>SIGN(F34)*SUMIF(abaqus!A:A,CONCATENATE("=",ABS(F34)),abaqus!B:B)</f>
        <v>7.0685835749999999</v>
      </c>
      <c r="I34">
        <f>IF(D34="E",-H34,0)</f>
        <v>0</v>
      </c>
      <c r="J34">
        <f>IF(D34="F",H34,0)</f>
        <v>0</v>
      </c>
      <c r="K34">
        <f>IF(D34="D",H34,0)</f>
        <v>7.0685835749999999</v>
      </c>
      <c r="L34">
        <f>(I34+J34)*0.5*5.6/2</f>
        <v>0</v>
      </c>
      <c r="M34">
        <f>(I34-J34)/3.97/2*5.6/2</f>
        <v>0</v>
      </c>
      <c r="N34">
        <v>0</v>
      </c>
      <c r="O34">
        <v>0</v>
      </c>
      <c r="P34">
        <v>0</v>
      </c>
      <c r="Q34">
        <f>IF(D34="E",$H34*$E34/3.1415927*180+$AA$1,0)</f>
        <v>0</v>
      </c>
      <c r="R34">
        <f>IF(D34="F",$H34*$E34/3.1415927*180+$AA$1,0)</f>
        <v>0</v>
      </c>
      <c r="S34">
        <f>IF(D34="D",$H34*$E34/3.1415927*180+$AA$1,0)</f>
        <v>1215.0000000000002</v>
      </c>
    </row>
    <row r="35" spans="1:19" x14ac:dyDescent="0.55000000000000004">
      <c r="A35">
        <v>0</v>
      </c>
      <c r="B35">
        <v>0</v>
      </c>
      <c r="C35">
        <v>0</v>
      </c>
      <c r="D35" t="s">
        <v>18</v>
      </c>
      <c r="E35">
        <v>3</v>
      </c>
      <c r="F35">
        <f>F34</f>
        <v>50</v>
      </c>
      <c r="G35">
        <f t="shared" si="0"/>
        <v>1215.0000000000002</v>
      </c>
      <c r="H35">
        <f>SIGN(F35)*SUMIF(abaqus!A:A,CONCATENATE("=",ABS(F35)),abaqus!B:B)</f>
        <v>7.0685835749999999</v>
      </c>
      <c r="I35">
        <f t="shared" ref="I35:I37" si="65">IF(D35="E",-H35,0)</f>
        <v>0</v>
      </c>
      <c r="J35">
        <f t="shared" ref="J35:J37" si="66">IF(D35="F",H35,0)</f>
        <v>0</v>
      </c>
      <c r="K35">
        <f t="shared" ref="K35:K37" si="67">IF(D35="D",H35,0)</f>
        <v>7.0685835749999999</v>
      </c>
      <c r="L35">
        <f t="shared" ref="L35:L37" si="68">(I35+J35)*0.5*5.6/2</f>
        <v>0</v>
      </c>
      <c r="M35">
        <f t="shared" ref="M35:M37" si="69">(I35-J35)/3.97/2*5.6/2</f>
        <v>0</v>
      </c>
      <c r="N35">
        <v>0</v>
      </c>
      <c r="O35">
        <v>0</v>
      </c>
      <c r="P35">
        <v>0</v>
      </c>
      <c r="Q35">
        <f t="shared" ref="Q35:Q37" si="70">IF(D35="E",$H35*$E35/3.1415927*180+$AA$1,0)</f>
        <v>0</v>
      </c>
      <c r="R35">
        <f t="shared" ref="R35:R37" si="71">IF(D35="F",$H35*$E35/3.1415927*180+$AA$1,0)</f>
        <v>0</v>
      </c>
      <c r="S35">
        <f t="shared" ref="S35:S37" si="72">IF(D35="D",$H35*$E35/3.1415927*180+$AA$1,0)</f>
        <v>1215.0000000000002</v>
      </c>
    </row>
    <row r="36" spans="1:19" x14ac:dyDescent="0.55000000000000004">
      <c r="A36">
        <v>0</v>
      </c>
      <c r="B36">
        <v>0</v>
      </c>
      <c r="C36">
        <v>0</v>
      </c>
      <c r="D36" t="s">
        <v>18</v>
      </c>
      <c r="E36">
        <v>3</v>
      </c>
      <c r="F36">
        <f>-F35</f>
        <v>-50</v>
      </c>
      <c r="G36">
        <f t="shared" si="0"/>
        <v>-1215.0000000000002</v>
      </c>
      <c r="H36">
        <f>SIGN(F36)*SUMIF(abaqus!A:A,CONCATENATE("=",ABS(F36)),abaqus!B:B)</f>
        <v>-7.0685835749999999</v>
      </c>
      <c r="I36">
        <f t="shared" si="65"/>
        <v>0</v>
      </c>
      <c r="J36">
        <f t="shared" si="66"/>
        <v>0</v>
      </c>
      <c r="K36">
        <f t="shared" si="67"/>
        <v>-7.0685835749999999</v>
      </c>
      <c r="L36">
        <f t="shared" si="68"/>
        <v>0</v>
      </c>
      <c r="M36">
        <f t="shared" si="69"/>
        <v>0</v>
      </c>
      <c r="N36">
        <v>0</v>
      </c>
      <c r="O36">
        <v>0</v>
      </c>
      <c r="P36">
        <v>0</v>
      </c>
      <c r="Q36">
        <f t="shared" si="70"/>
        <v>0</v>
      </c>
      <c r="R36">
        <f t="shared" si="71"/>
        <v>0</v>
      </c>
      <c r="S36">
        <f t="shared" si="72"/>
        <v>-1215.0000000000002</v>
      </c>
    </row>
    <row r="37" spans="1:19" x14ac:dyDescent="0.55000000000000004">
      <c r="A37">
        <v>0</v>
      </c>
      <c r="B37">
        <v>0</v>
      </c>
      <c r="C37">
        <v>0</v>
      </c>
      <c r="D37" t="s">
        <v>18</v>
      </c>
      <c r="E37">
        <v>3</v>
      </c>
      <c r="F37">
        <f>F36</f>
        <v>-50</v>
      </c>
      <c r="G37">
        <f t="shared" si="0"/>
        <v>-1215.0000000000002</v>
      </c>
      <c r="H37">
        <f>SIGN(F37)*SUMIF(abaqus!A:A,CONCATENATE("=",ABS(F37)),abaqus!B:B)</f>
        <v>-7.0685835749999999</v>
      </c>
      <c r="I37">
        <f t="shared" si="65"/>
        <v>0</v>
      </c>
      <c r="J37">
        <f t="shared" si="66"/>
        <v>0</v>
      </c>
      <c r="K37">
        <f t="shared" si="67"/>
        <v>-7.0685835749999999</v>
      </c>
      <c r="L37">
        <f t="shared" si="68"/>
        <v>0</v>
      </c>
      <c r="M37">
        <f t="shared" si="69"/>
        <v>0</v>
      </c>
      <c r="N37">
        <v>0</v>
      </c>
      <c r="O37">
        <v>0</v>
      </c>
      <c r="P37">
        <v>0</v>
      </c>
      <c r="Q37">
        <f t="shared" si="70"/>
        <v>0</v>
      </c>
      <c r="R37">
        <f t="shared" si="71"/>
        <v>0</v>
      </c>
      <c r="S37">
        <f t="shared" si="72"/>
        <v>-1215.0000000000002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5CC7E-6709-41FA-B242-F44252F13E98}">
  <sheetPr codeName="Sheet5"/>
  <dimension ref="A1:R82"/>
  <sheetViews>
    <sheetView zoomScale="71" zoomScaleNormal="71" workbookViewId="0">
      <selection activeCell="A19" sqref="A19"/>
    </sheetView>
  </sheetViews>
  <sheetFormatPr defaultRowHeight="14.4" x14ac:dyDescent="0.55000000000000004"/>
  <cols>
    <col min="6" max="6" width="14.41796875" customWidth="1"/>
  </cols>
  <sheetData>
    <row r="1" spans="1:18" x14ac:dyDescent="0.55000000000000004">
      <c r="A1" t="s">
        <v>1</v>
      </c>
      <c r="B1" t="s">
        <v>2</v>
      </c>
      <c r="C1" t="s">
        <v>3</v>
      </c>
      <c r="D1" t="s">
        <v>22</v>
      </c>
      <c r="E1" t="s">
        <v>12</v>
      </c>
      <c r="F1" t="s">
        <v>11</v>
      </c>
      <c r="G1" t="s">
        <v>28</v>
      </c>
      <c r="H1" t="s">
        <v>29</v>
      </c>
      <c r="I1" t="s">
        <v>30</v>
      </c>
      <c r="J1" t="s">
        <v>31</v>
      </c>
      <c r="K1" t="s">
        <v>14</v>
      </c>
      <c r="L1" t="s">
        <v>15</v>
      </c>
      <c r="M1" t="s">
        <v>10</v>
      </c>
      <c r="N1" t="s">
        <v>8</v>
      </c>
      <c r="O1" t="s">
        <v>9</v>
      </c>
      <c r="P1" t="s">
        <v>25</v>
      </c>
      <c r="Q1" t="s">
        <v>26</v>
      </c>
      <c r="R1" t="s">
        <v>27</v>
      </c>
    </row>
    <row r="2" spans="1:18" x14ac:dyDescent="0.55000000000000004">
      <c r="A2">
        <v>0</v>
      </c>
      <c r="B2">
        <v>0</v>
      </c>
      <c r="C2">
        <v>0</v>
      </c>
      <c r="D2" t="s">
        <v>0</v>
      </c>
      <c r="E2">
        <v>0.64</v>
      </c>
      <c r="F2">
        <v>20</v>
      </c>
      <c r="G2">
        <f>SUMIF(abaqus!A:A,CONCATENATE("=",ABS(F2)),abaqus!B:B)</f>
        <v>2.8274334300000001</v>
      </c>
      <c r="H2">
        <f>SIGN(F2) * IF(D2="E",-G2,0)</f>
        <v>-2.8274334300000001</v>
      </c>
      <c r="I2">
        <f>SIGN(F2) * IF(D2="F",G2,0)</f>
        <v>0</v>
      </c>
      <c r="J2">
        <f>SIGN(F2) * IF(D2="D",G2,0)</f>
        <v>0</v>
      </c>
      <c r="K2">
        <f>(H2+I2)*0.5*5.6/2</f>
        <v>-3.9584068019999998</v>
      </c>
      <c r="L2">
        <f>(H2-I2)/3.97/2*5.6/2</f>
        <v>-0.99707979899244337</v>
      </c>
      <c r="M2">
        <v>-36.562216624685881</v>
      </c>
      <c r="N2">
        <v>-2.3649105224142062</v>
      </c>
      <c r="O2">
        <v>0.78125443391699878</v>
      </c>
      <c r="P2">
        <f>-H2*$E2/3.1415927*180</f>
        <v>103.68</v>
      </c>
      <c r="Q2">
        <f>I2*$E2/3.1415927*180</f>
        <v>0</v>
      </c>
      <c r="R2">
        <f>J2*$E2/3.1415927*180</f>
        <v>0</v>
      </c>
    </row>
    <row r="3" spans="1:18" x14ac:dyDescent="0.55000000000000004">
      <c r="A3">
        <v>0</v>
      </c>
      <c r="B3">
        <v>0</v>
      </c>
      <c r="C3">
        <v>0</v>
      </c>
      <c r="D3" t="s">
        <v>0</v>
      </c>
      <c r="E3">
        <v>0.64</v>
      </c>
      <c r="F3">
        <v>-20</v>
      </c>
      <c r="G3">
        <f>SUMIF(abaqus!A:A,CONCATENATE("=",ABS(F3)),abaqus!B:B)</f>
        <v>2.8274334300000001</v>
      </c>
      <c r="H3">
        <f>SIGN(F3) * IF(D3="E",-G3,0)</f>
        <v>2.8274334300000001</v>
      </c>
      <c r="I3">
        <f t="shared" ref="I3:I66" si="0">SIGN(F3) * IF(D3="F",G3,0)</f>
        <v>0</v>
      </c>
      <c r="J3">
        <f t="shared" ref="J3:J66" si="1">SIGN(F3) * IF(D3="D",G3,0)</f>
        <v>0</v>
      </c>
      <c r="K3">
        <f t="shared" ref="K3:K10" si="2">(H3+I3)*0.5*5.6/2</f>
        <v>3.9584068019999998</v>
      </c>
      <c r="L3">
        <f t="shared" ref="L3:L10" si="3">(H3-I3)/3.97/2*5.6/2</f>
        <v>0.99707979899244337</v>
      </c>
      <c r="M3">
        <v>36.562216624685881</v>
      </c>
      <c r="N3">
        <v>2.3649105224142062</v>
      </c>
      <c r="O3">
        <v>0.78125443391699878</v>
      </c>
      <c r="P3">
        <f t="shared" ref="P3:P28" si="4">-H3*$E3/3.1415927*180</f>
        <v>-103.68</v>
      </c>
      <c r="Q3">
        <f t="shared" ref="Q3:Q28" si="5">I3*$E3/3.1415927*180</f>
        <v>0</v>
      </c>
      <c r="R3">
        <f t="shared" ref="R3:R66" si="6">J3*$E3/3.1415927*180</f>
        <v>0</v>
      </c>
    </row>
    <row r="4" spans="1:18" x14ac:dyDescent="0.55000000000000004">
      <c r="A4">
        <v>0</v>
      </c>
      <c r="B4">
        <v>0</v>
      </c>
      <c r="C4">
        <v>0</v>
      </c>
      <c r="D4" t="s">
        <v>0</v>
      </c>
      <c r="E4">
        <v>0.64</v>
      </c>
      <c r="F4">
        <v>40</v>
      </c>
      <c r="G4">
        <f>SUMIF(abaqus!A:A,CONCATENATE("=",ABS(F4)),abaqus!B:B)</f>
        <v>5.6548668600000003</v>
      </c>
      <c r="H4">
        <f t="shared" ref="H4:H67" si="7">SIGN(F4) * IF(D4="E",-G4,0)</f>
        <v>-5.6548668600000003</v>
      </c>
      <c r="I4">
        <f t="shared" si="0"/>
        <v>0</v>
      </c>
      <c r="J4">
        <f t="shared" si="1"/>
        <v>0</v>
      </c>
      <c r="K4">
        <f t="shared" si="2"/>
        <v>-7.9168136039999997</v>
      </c>
      <c r="L4">
        <f t="shared" si="3"/>
        <v>-1.9941595979848867</v>
      </c>
      <c r="M4">
        <v>-73.124433249371762</v>
      </c>
      <c r="N4">
        <v>-3.7990419123173225</v>
      </c>
      <c r="O4">
        <v>2.8175324407368363</v>
      </c>
      <c r="P4">
        <f t="shared" si="4"/>
        <v>207.36</v>
      </c>
      <c r="Q4">
        <f t="shared" si="5"/>
        <v>0</v>
      </c>
      <c r="R4">
        <f t="shared" si="6"/>
        <v>0</v>
      </c>
    </row>
    <row r="5" spans="1:18" x14ac:dyDescent="0.55000000000000004">
      <c r="A5">
        <v>0</v>
      </c>
      <c r="B5">
        <v>0</v>
      </c>
      <c r="C5">
        <v>0</v>
      </c>
      <c r="D5" t="s">
        <v>0</v>
      </c>
      <c r="E5">
        <v>0.64</v>
      </c>
      <c r="F5">
        <v>-40</v>
      </c>
      <c r="G5">
        <f>SUMIF(abaqus!A:A,CONCATENATE("=",ABS(F5)),abaqus!B:B)</f>
        <v>5.6548668600000003</v>
      </c>
      <c r="H5">
        <f t="shared" si="7"/>
        <v>5.6548668600000003</v>
      </c>
      <c r="I5">
        <f t="shared" si="0"/>
        <v>0</v>
      </c>
      <c r="J5">
        <f t="shared" si="1"/>
        <v>0</v>
      </c>
      <c r="K5">
        <f t="shared" si="2"/>
        <v>7.9168136039999997</v>
      </c>
      <c r="L5">
        <f t="shared" si="3"/>
        <v>1.9941595979848867</v>
      </c>
      <c r="M5">
        <v>73.124433249371762</v>
      </c>
      <c r="N5">
        <v>3.7990419123173225</v>
      </c>
      <c r="O5">
        <v>2.8175324407368363</v>
      </c>
      <c r="P5">
        <f t="shared" si="4"/>
        <v>-207.36</v>
      </c>
      <c r="Q5">
        <f t="shared" si="5"/>
        <v>0</v>
      </c>
      <c r="R5">
        <f t="shared" si="6"/>
        <v>0</v>
      </c>
    </row>
    <row r="6" spans="1:18" x14ac:dyDescent="0.55000000000000004">
      <c r="A6">
        <v>0</v>
      </c>
      <c r="B6">
        <v>0</v>
      </c>
      <c r="C6">
        <v>0</v>
      </c>
      <c r="D6" t="s">
        <v>0</v>
      </c>
      <c r="E6">
        <v>1.28</v>
      </c>
      <c r="F6">
        <v>-20</v>
      </c>
      <c r="G6">
        <f>SUMIF(abaqus!A:A,CONCATENATE("=",ABS(F6)),abaqus!B:B)</f>
        <v>2.8274334300000001</v>
      </c>
      <c r="H6">
        <f t="shared" si="7"/>
        <v>2.8274334300000001</v>
      </c>
      <c r="I6">
        <f t="shared" si="0"/>
        <v>0</v>
      </c>
      <c r="J6">
        <f t="shared" si="1"/>
        <v>0</v>
      </c>
      <c r="K6">
        <f t="shared" si="2"/>
        <v>3.9584068019999998</v>
      </c>
      <c r="L6">
        <f t="shared" si="3"/>
        <v>0.99707979899244337</v>
      </c>
      <c r="M6">
        <v>73.124433249378427</v>
      </c>
      <c r="N6">
        <v>3.7990417942896531</v>
      </c>
      <c r="O6">
        <v>2.8175323532026519</v>
      </c>
      <c r="P6">
        <f t="shared" si="4"/>
        <v>-207.36</v>
      </c>
      <c r="Q6">
        <f t="shared" si="5"/>
        <v>0</v>
      </c>
      <c r="R6">
        <f t="shared" si="6"/>
        <v>0</v>
      </c>
    </row>
    <row r="7" spans="1:18" x14ac:dyDescent="0.55000000000000004">
      <c r="A7">
        <v>0</v>
      </c>
      <c r="B7">
        <v>0</v>
      </c>
      <c r="C7">
        <v>0</v>
      </c>
      <c r="D7" t="s">
        <v>0</v>
      </c>
      <c r="E7">
        <v>0.32</v>
      </c>
      <c r="F7">
        <v>50</v>
      </c>
      <c r="G7">
        <f>SUMIF(abaqus!A:A,CONCATENATE("=",ABS(F7)),abaqus!B:B)</f>
        <v>7.0685835749999999</v>
      </c>
      <c r="H7">
        <f t="shared" si="7"/>
        <v>-7.0685835749999999</v>
      </c>
      <c r="I7">
        <f t="shared" si="0"/>
        <v>0</v>
      </c>
      <c r="J7">
        <f t="shared" si="1"/>
        <v>0</v>
      </c>
      <c r="K7">
        <f t="shared" si="2"/>
        <v>-9.8960170049999991</v>
      </c>
      <c r="L7">
        <f t="shared" si="3"/>
        <v>-2.4926994974811079</v>
      </c>
      <c r="M7">
        <v>-45.702770780856994</v>
      </c>
      <c r="N7">
        <v>-2.8414366570827072</v>
      </c>
      <c r="O7">
        <v>1.1974266787067149</v>
      </c>
      <c r="P7">
        <f t="shared" si="4"/>
        <v>129.6</v>
      </c>
      <c r="Q7">
        <f t="shared" si="5"/>
        <v>0</v>
      </c>
      <c r="R7">
        <f t="shared" si="6"/>
        <v>0</v>
      </c>
    </row>
    <row r="8" spans="1:18" x14ac:dyDescent="0.55000000000000004">
      <c r="A8">
        <v>0</v>
      </c>
      <c r="B8">
        <v>0</v>
      </c>
      <c r="C8">
        <v>0</v>
      </c>
      <c r="D8" t="s">
        <v>0</v>
      </c>
      <c r="E8">
        <v>0.32</v>
      </c>
      <c r="F8">
        <v>-50</v>
      </c>
      <c r="G8">
        <f>SUMIF(abaqus!A:A,CONCATENATE("=",ABS(F8)),abaqus!B:B)</f>
        <v>7.0685835749999999</v>
      </c>
      <c r="H8">
        <f t="shared" si="7"/>
        <v>7.0685835749999999</v>
      </c>
      <c r="I8">
        <f t="shared" si="0"/>
        <v>0</v>
      </c>
      <c r="J8">
        <f t="shared" si="1"/>
        <v>0</v>
      </c>
      <c r="K8">
        <f t="shared" si="2"/>
        <v>9.8960170049999991</v>
      </c>
      <c r="L8">
        <f t="shared" si="3"/>
        <v>2.4926994974811079</v>
      </c>
      <c r="M8">
        <v>45.702770780856994</v>
      </c>
      <c r="N8">
        <v>2.8414366570827072</v>
      </c>
      <c r="O8">
        <v>1.1974266787067149</v>
      </c>
      <c r="P8">
        <f t="shared" si="4"/>
        <v>-129.6</v>
      </c>
      <c r="Q8">
        <f t="shared" si="5"/>
        <v>0</v>
      </c>
      <c r="R8">
        <f t="shared" si="6"/>
        <v>0</v>
      </c>
    </row>
    <row r="9" spans="1:18" x14ac:dyDescent="0.55000000000000004">
      <c r="A9">
        <v>0</v>
      </c>
      <c r="B9">
        <v>0</v>
      </c>
      <c r="C9">
        <v>0</v>
      </c>
      <c r="D9" t="s">
        <v>0</v>
      </c>
      <c r="E9">
        <v>0.64</v>
      </c>
      <c r="F9">
        <v>50</v>
      </c>
      <c r="G9">
        <f>SUMIF(abaqus!A:A,CONCATENATE("=",ABS(F9)),abaqus!B:B)</f>
        <v>7.0685835749999999</v>
      </c>
      <c r="H9">
        <f t="shared" si="7"/>
        <v>-7.0685835749999999</v>
      </c>
      <c r="I9">
        <f t="shared" si="0"/>
        <v>0</v>
      </c>
      <c r="J9">
        <f t="shared" si="1"/>
        <v>0</v>
      </c>
      <c r="K9">
        <f t="shared" si="2"/>
        <v>-9.8960170049999991</v>
      </c>
      <c r="L9">
        <f t="shared" si="3"/>
        <v>-2.4926994974811079</v>
      </c>
      <c r="M9">
        <v>-91.405541561714443</v>
      </c>
      <c r="N9">
        <v>-3.9688057691691867</v>
      </c>
      <c r="O9">
        <v>4.0673799614215751</v>
      </c>
      <c r="P9">
        <f t="shared" si="4"/>
        <v>259.2</v>
      </c>
      <c r="Q9">
        <f t="shared" si="5"/>
        <v>0</v>
      </c>
      <c r="R9">
        <f t="shared" si="6"/>
        <v>0</v>
      </c>
    </row>
    <row r="10" spans="1:18" x14ac:dyDescent="0.55000000000000004">
      <c r="A10">
        <v>0</v>
      </c>
      <c r="B10">
        <v>0</v>
      </c>
      <c r="C10">
        <v>0</v>
      </c>
      <c r="D10" t="s">
        <v>0</v>
      </c>
      <c r="E10">
        <v>1.6</v>
      </c>
      <c r="F10">
        <v>-50</v>
      </c>
      <c r="G10">
        <f>SUMIF(abaqus!A:A,CONCATENATE("=",ABS(F10)),abaqus!B:B)</f>
        <v>7.0685835749999999</v>
      </c>
      <c r="H10">
        <f t="shared" si="7"/>
        <v>7.0685835749999999</v>
      </c>
      <c r="I10">
        <f t="shared" si="0"/>
        <v>0</v>
      </c>
      <c r="J10">
        <f t="shared" si="1"/>
        <v>0</v>
      </c>
      <c r="K10">
        <f t="shared" si="2"/>
        <v>9.8960170049999991</v>
      </c>
      <c r="L10">
        <f t="shared" si="3"/>
        <v>2.4926994974811079</v>
      </c>
      <c r="M10">
        <v>228.5138539043125</v>
      </c>
      <c r="N10">
        <v>-2.9739905416311152</v>
      </c>
      <c r="O10">
        <v>6.5998828205921658</v>
      </c>
      <c r="P10">
        <f t="shared" si="4"/>
        <v>-648</v>
      </c>
      <c r="Q10">
        <f t="shared" si="5"/>
        <v>0</v>
      </c>
      <c r="R10">
        <f t="shared" si="6"/>
        <v>0</v>
      </c>
    </row>
    <row r="11" spans="1:18" x14ac:dyDescent="0.55000000000000004">
      <c r="A11">
        <v>0</v>
      </c>
      <c r="B11">
        <v>0</v>
      </c>
      <c r="C11">
        <f>3.1415927/2</f>
        <v>1.57079635</v>
      </c>
      <c r="D11" t="s">
        <v>0</v>
      </c>
      <c r="E11">
        <v>0.64</v>
      </c>
      <c r="F11">
        <v>20</v>
      </c>
      <c r="G11">
        <f>SUMIF(abaqus!A:A,CONCATENATE("=",ABS(F11)),abaqus!B:B)</f>
        <v>2.8274334300000001</v>
      </c>
      <c r="H11">
        <f t="shared" si="7"/>
        <v>-2.8274334300000001</v>
      </c>
      <c r="I11">
        <f t="shared" si="0"/>
        <v>0</v>
      </c>
      <c r="J11">
        <f t="shared" si="1"/>
        <v>0</v>
      </c>
      <c r="K11">
        <f>(H11+I11)*0.5*5.6/2</f>
        <v>-3.9584068019999998</v>
      </c>
      <c r="L11">
        <f>(H11-I11)/3.97/2*5.6/2</f>
        <v>-0.99707979899244337</v>
      </c>
      <c r="M11">
        <v>53.437783375306857</v>
      </c>
      <c r="N11">
        <v>-0.78125437903916561</v>
      </c>
      <c r="O11">
        <v>-2.3649105405432236</v>
      </c>
      <c r="P11">
        <f t="shared" si="4"/>
        <v>103.68</v>
      </c>
      <c r="Q11">
        <f t="shared" si="5"/>
        <v>0</v>
      </c>
      <c r="R11">
        <f t="shared" si="6"/>
        <v>0</v>
      </c>
    </row>
    <row r="12" spans="1:18" x14ac:dyDescent="0.55000000000000004">
      <c r="A12">
        <v>0</v>
      </c>
      <c r="B12">
        <v>0</v>
      </c>
      <c r="C12">
        <f>-3.1415927/2</f>
        <v>-1.57079635</v>
      </c>
      <c r="D12" t="s">
        <v>0</v>
      </c>
      <c r="E12">
        <v>0.64</v>
      </c>
      <c r="F12">
        <v>20</v>
      </c>
      <c r="G12">
        <f>SUMIF(abaqus!A:A,CONCATENATE("=",ABS(F12)),abaqus!B:B)</f>
        <v>2.8274334300000001</v>
      </c>
      <c r="H12">
        <f t="shared" si="7"/>
        <v>-2.8274334300000001</v>
      </c>
      <c r="I12">
        <f t="shared" si="0"/>
        <v>0</v>
      </c>
      <c r="J12">
        <f t="shared" si="1"/>
        <v>0</v>
      </c>
      <c r="K12">
        <f>(H12+I12)*0.5*5.6/2</f>
        <v>-3.9584068019999998</v>
      </c>
      <c r="L12">
        <f>(H12-I12)/3.97/2*5.6/2</f>
        <v>-0.99707979899244337</v>
      </c>
      <c r="M12">
        <v>-126.56221662468869</v>
      </c>
      <c r="N12">
        <v>0.78125448879512116</v>
      </c>
      <c r="O12">
        <v>2.3649105042850689</v>
      </c>
      <c r="P12">
        <f t="shared" si="4"/>
        <v>103.68</v>
      </c>
      <c r="Q12">
        <f t="shared" si="5"/>
        <v>0</v>
      </c>
      <c r="R12">
        <f t="shared" si="6"/>
        <v>0</v>
      </c>
    </row>
    <row r="13" spans="1:18" x14ac:dyDescent="0.55000000000000004">
      <c r="A13">
        <v>0</v>
      </c>
      <c r="B13">
        <v>0</v>
      </c>
      <c r="C13">
        <f>3.1415927</f>
        <v>3.1415926999999999</v>
      </c>
      <c r="D13" t="s">
        <v>0</v>
      </c>
      <c r="E13">
        <v>0.64</v>
      </c>
      <c r="F13">
        <v>20</v>
      </c>
      <c r="G13">
        <f>SUMIF(abaqus!A:A,CONCATENATE("=",ABS(F13)),abaqus!B:B)</f>
        <v>2.8274334300000001</v>
      </c>
      <c r="H13">
        <f t="shared" si="7"/>
        <v>-2.8274334300000001</v>
      </c>
      <c r="I13">
        <f t="shared" si="0"/>
        <v>0</v>
      </c>
      <c r="J13">
        <f t="shared" si="1"/>
        <v>0</v>
      </c>
      <c r="K13">
        <f>(H13+I13)*0.5*5.6/2</f>
        <v>-3.9584068019999998</v>
      </c>
      <c r="L13">
        <f>(H13-I13)/3.97/2*5.6/2</f>
        <v>-0.99707979899244337</v>
      </c>
      <c r="M13">
        <v>143.43778337532225</v>
      </c>
      <c r="N13">
        <v>2.3649105586724617</v>
      </c>
      <c r="O13">
        <v>-0.78125432416085028</v>
      </c>
      <c r="P13">
        <f t="shared" si="4"/>
        <v>103.68</v>
      </c>
      <c r="Q13">
        <f t="shared" si="5"/>
        <v>0</v>
      </c>
      <c r="R13">
        <f t="shared" si="6"/>
        <v>0</v>
      </c>
    </row>
    <row r="14" spans="1:18" x14ac:dyDescent="0.55000000000000004">
      <c r="A14">
        <v>0</v>
      </c>
      <c r="B14">
        <v>0</v>
      </c>
      <c r="C14">
        <f>3.1415927/2</f>
        <v>1.57079635</v>
      </c>
      <c r="D14" t="s">
        <v>0</v>
      </c>
      <c r="E14">
        <v>0.32</v>
      </c>
      <c r="F14">
        <v>-50</v>
      </c>
      <c r="G14">
        <f>SUMIF(abaqus!A:A,CONCATENATE("=",ABS(F14)),abaqus!B:B)</f>
        <v>7.0685835749999999</v>
      </c>
      <c r="H14">
        <f t="shared" si="7"/>
        <v>7.0685835749999999</v>
      </c>
      <c r="I14">
        <f t="shared" si="0"/>
        <v>0</v>
      </c>
      <c r="J14">
        <f t="shared" si="1"/>
        <v>0</v>
      </c>
      <c r="K14">
        <f t="shared" ref="K14:K16" si="8">(H14+I14)*0.5*5.6/2</f>
        <v>9.8960170049999991</v>
      </c>
      <c r="L14">
        <f t="shared" ref="L14:L16" si="9">(H14-I14)/3.97/2*5.6/2</f>
        <v>2.4926994974811079</v>
      </c>
      <c r="M14">
        <v>135.70277078085792</v>
      </c>
      <c r="N14">
        <v>-1.197426744642528</v>
      </c>
      <c r="O14">
        <v>2.8414366292962958</v>
      </c>
      <c r="P14">
        <f t="shared" si="4"/>
        <v>-129.6</v>
      </c>
      <c r="Q14">
        <f t="shared" si="5"/>
        <v>0</v>
      </c>
      <c r="R14">
        <f t="shared" si="6"/>
        <v>0</v>
      </c>
    </row>
    <row r="15" spans="1:18" x14ac:dyDescent="0.55000000000000004">
      <c r="A15">
        <v>0</v>
      </c>
      <c r="B15">
        <v>0</v>
      </c>
      <c r="C15">
        <f>-3.1415927/2</f>
        <v>-1.57079635</v>
      </c>
      <c r="D15" t="s">
        <v>0</v>
      </c>
      <c r="E15">
        <v>0.32</v>
      </c>
      <c r="F15">
        <v>-50</v>
      </c>
      <c r="G15">
        <f>SUMIF(abaqus!A:A,CONCATENATE("=",ABS(F15)),abaqus!B:B)</f>
        <v>7.0685835749999999</v>
      </c>
      <c r="H15">
        <f t="shared" si="7"/>
        <v>7.0685835749999999</v>
      </c>
      <c r="I15">
        <f t="shared" si="0"/>
        <v>0</v>
      </c>
      <c r="J15">
        <f t="shared" si="1"/>
        <v>0</v>
      </c>
      <c r="K15">
        <f t="shared" si="8"/>
        <v>9.8960170049999991</v>
      </c>
      <c r="L15">
        <f t="shared" si="9"/>
        <v>2.4926994974811079</v>
      </c>
      <c r="M15">
        <v>-44.297229219144654</v>
      </c>
      <c r="N15">
        <v>1.197426612770836</v>
      </c>
      <c r="O15">
        <v>-2.8414366848691373</v>
      </c>
      <c r="P15">
        <f t="shared" si="4"/>
        <v>-129.6</v>
      </c>
      <c r="Q15">
        <f t="shared" si="5"/>
        <v>0</v>
      </c>
      <c r="R15">
        <f t="shared" si="6"/>
        <v>0</v>
      </c>
    </row>
    <row r="16" spans="1:18" x14ac:dyDescent="0.55000000000000004">
      <c r="A16">
        <v>0</v>
      </c>
      <c r="B16">
        <v>0</v>
      </c>
      <c r="C16">
        <f>3.1415927</f>
        <v>3.1415926999999999</v>
      </c>
      <c r="D16" t="s">
        <v>0</v>
      </c>
      <c r="E16">
        <v>0.32</v>
      </c>
      <c r="F16">
        <v>-50</v>
      </c>
      <c r="G16">
        <f>SUMIF(abaqus!A:A,CONCATENATE("=",ABS(F16)),abaqus!B:B)</f>
        <v>7.0685835749999999</v>
      </c>
      <c r="H16">
        <f t="shared" si="7"/>
        <v>7.0685835749999999</v>
      </c>
      <c r="I16">
        <f t="shared" si="0"/>
        <v>0</v>
      </c>
      <c r="J16">
        <f t="shared" si="1"/>
        <v>0</v>
      </c>
      <c r="K16">
        <f t="shared" si="8"/>
        <v>9.8960170049999991</v>
      </c>
      <c r="L16">
        <f t="shared" si="9"/>
        <v>2.4926994974811079</v>
      </c>
      <c r="M16">
        <v>225.70277078086229</v>
      </c>
      <c r="N16">
        <v>-2.8414366015097956</v>
      </c>
      <c r="O16">
        <v>-1.1974268105785106</v>
      </c>
      <c r="P16">
        <f t="shared" si="4"/>
        <v>-129.6</v>
      </c>
      <c r="Q16">
        <f t="shared" si="5"/>
        <v>0</v>
      </c>
      <c r="R16">
        <f t="shared" si="6"/>
        <v>0</v>
      </c>
    </row>
    <row r="17" spans="1:18" x14ac:dyDescent="0.55000000000000004">
      <c r="A17">
        <v>-20</v>
      </c>
      <c r="B17">
        <v>35</v>
      </c>
      <c r="C17">
        <v>0</v>
      </c>
      <c r="D17" t="s">
        <v>0</v>
      </c>
      <c r="E17">
        <v>0.64</v>
      </c>
      <c r="F17">
        <v>20</v>
      </c>
      <c r="G17">
        <f>SUMIF(abaqus!A:A,CONCATENATE("=",ABS(F17)),abaqus!B:B)</f>
        <v>2.8274334300000001</v>
      </c>
      <c r="H17">
        <f t="shared" si="7"/>
        <v>-2.8274334300000001</v>
      </c>
      <c r="I17">
        <f t="shared" si="0"/>
        <v>0</v>
      </c>
      <c r="J17">
        <f t="shared" si="1"/>
        <v>0</v>
      </c>
      <c r="K17">
        <f>(H17+I17)*0.5*5.6/2</f>
        <v>-3.9584068019999998</v>
      </c>
      <c r="L17">
        <f>(H17-I17)/3.97/2*5.6/2</f>
        <v>-0.99707979899244337</v>
      </c>
      <c r="M17">
        <v>-36.562216624685881</v>
      </c>
      <c r="N17">
        <v>-22.364910522414185</v>
      </c>
      <c r="O17">
        <v>35.78125443391712</v>
      </c>
      <c r="P17">
        <f t="shared" si="4"/>
        <v>103.68</v>
      </c>
      <c r="Q17">
        <f t="shared" si="5"/>
        <v>0</v>
      </c>
      <c r="R17">
        <f t="shared" si="6"/>
        <v>0</v>
      </c>
    </row>
    <row r="18" spans="1:18" x14ac:dyDescent="0.55000000000000004">
      <c r="A18">
        <v>-20</v>
      </c>
      <c r="B18">
        <v>35</v>
      </c>
      <c r="C18">
        <f>3.1415927/2</f>
        <v>1.57079635</v>
      </c>
      <c r="D18" t="s">
        <v>0</v>
      </c>
      <c r="E18">
        <v>0.64</v>
      </c>
      <c r="F18">
        <v>20</v>
      </c>
      <c r="G18">
        <f>SUMIF(abaqus!A:A,CONCATENATE("=",ABS(F18)),abaqus!B:B)</f>
        <v>2.8274334300000001</v>
      </c>
      <c r="H18">
        <f t="shared" si="7"/>
        <v>-2.8274334300000001</v>
      </c>
      <c r="I18">
        <f t="shared" si="0"/>
        <v>0</v>
      </c>
      <c r="J18">
        <f t="shared" si="1"/>
        <v>0</v>
      </c>
      <c r="K18">
        <f>(H18+I18)*0.5*5.6/2</f>
        <v>-3.9584068019999998</v>
      </c>
      <c r="L18">
        <f>(H18-I18)/3.97/2*5.6/2</f>
        <v>-0.99707979899244337</v>
      </c>
      <c r="M18">
        <v>53.437783375306857</v>
      </c>
      <c r="N18">
        <v>-20.781254379039183</v>
      </c>
      <c r="O18">
        <v>32.635089459456758</v>
      </c>
      <c r="P18">
        <f t="shared" si="4"/>
        <v>103.68</v>
      </c>
      <c r="Q18">
        <f t="shared" si="5"/>
        <v>0</v>
      </c>
      <c r="R18">
        <f t="shared" si="6"/>
        <v>0</v>
      </c>
    </row>
    <row r="19" spans="1:18" x14ac:dyDescent="0.55000000000000004">
      <c r="A19">
        <v>-20</v>
      </c>
      <c r="B19">
        <v>35</v>
      </c>
      <c r="C19">
        <f>-3.1415927/2</f>
        <v>-1.57079635</v>
      </c>
      <c r="D19" t="s">
        <v>0</v>
      </c>
      <c r="E19">
        <v>0.64</v>
      </c>
      <c r="F19">
        <v>20</v>
      </c>
      <c r="G19">
        <f>SUMIF(abaqus!A:A,CONCATENATE("=",ABS(F19)),abaqus!B:B)</f>
        <v>2.8274334300000001</v>
      </c>
      <c r="H19">
        <f t="shared" si="7"/>
        <v>-2.8274334300000001</v>
      </c>
      <c r="I19">
        <f t="shared" si="0"/>
        <v>0</v>
      </c>
      <c r="J19">
        <f t="shared" si="1"/>
        <v>0</v>
      </c>
      <c r="K19">
        <f>(H19+I19)*0.5*5.6/2</f>
        <v>-3.9584068019999998</v>
      </c>
      <c r="L19">
        <f>(H19-I19)/3.97/2*5.6/2</f>
        <v>-0.99707979899244337</v>
      </c>
      <c r="M19">
        <v>-126.56221662468869</v>
      </c>
      <c r="N19">
        <v>-19.218745511204805</v>
      </c>
      <c r="O19">
        <v>37.364910504285128</v>
      </c>
      <c r="P19">
        <f t="shared" si="4"/>
        <v>103.68</v>
      </c>
      <c r="Q19">
        <f t="shared" si="5"/>
        <v>0</v>
      </c>
      <c r="R19">
        <f t="shared" si="6"/>
        <v>0</v>
      </c>
    </row>
    <row r="20" spans="1:18" x14ac:dyDescent="0.55000000000000004">
      <c r="A20">
        <v>-20</v>
      </c>
      <c r="B20">
        <v>35</v>
      </c>
      <c r="C20">
        <f>3.1415927</f>
        <v>3.1415926999999999</v>
      </c>
      <c r="D20" t="s">
        <v>0</v>
      </c>
      <c r="E20">
        <v>0.64</v>
      </c>
      <c r="F20">
        <v>20</v>
      </c>
      <c r="G20">
        <f>SUMIF(abaqus!A:A,CONCATENATE("=",ABS(F20)),abaqus!B:B)</f>
        <v>2.8274334300000001</v>
      </c>
      <c r="H20">
        <f t="shared" si="7"/>
        <v>-2.8274334300000001</v>
      </c>
      <c r="I20">
        <f t="shared" si="0"/>
        <v>0</v>
      </c>
      <c r="J20">
        <f t="shared" si="1"/>
        <v>0</v>
      </c>
      <c r="K20">
        <f>(H20+I20)*0.5*5.6/2</f>
        <v>-3.9584068019999998</v>
      </c>
      <c r="L20">
        <f>(H20-I20)/3.97/2*5.6/2</f>
        <v>-0.99707979899244337</v>
      </c>
      <c r="M20">
        <v>143.43778337532225</v>
      </c>
      <c r="N20">
        <v>-17.635089441327533</v>
      </c>
      <c r="O20">
        <v>34.218745675839109</v>
      </c>
      <c r="P20">
        <f t="shared" si="4"/>
        <v>103.68</v>
      </c>
      <c r="Q20">
        <f t="shared" si="5"/>
        <v>0</v>
      </c>
      <c r="R20">
        <f t="shared" si="6"/>
        <v>0</v>
      </c>
    </row>
    <row r="21" spans="1:18" x14ac:dyDescent="0.55000000000000004">
      <c r="A21">
        <v>-20</v>
      </c>
      <c r="B21">
        <v>35</v>
      </c>
      <c r="C21">
        <v>0</v>
      </c>
      <c r="D21" t="s">
        <v>0</v>
      </c>
      <c r="E21">
        <v>0.64</v>
      </c>
      <c r="F21">
        <v>50</v>
      </c>
      <c r="G21">
        <f>SUMIF(abaqus!A:A,CONCATENATE("=",ABS(F21)),abaqus!B:B)</f>
        <v>7.0685835749999999</v>
      </c>
      <c r="H21">
        <f t="shared" si="7"/>
        <v>-7.0685835749999999</v>
      </c>
      <c r="I21">
        <f t="shared" si="0"/>
        <v>0</v>
      </c>
      <c r="J21">
        <f t="shared" si="1"/>
        <v>0</v>
      </c>
      <c r="K21">
        <f>(H21+I21)*0.5*5.6/2</f>
        <v>-9.8960170049999991</v>
      </c>
      <c r="L21">
        <f>(H21-I21)/3.97/2*5.6/2</f>
        <v>-2.4926994974811079</v>
      </c>
      <c r="M21">
        <v>-91.405541561714443</v>
      </c>
      <c r="N21">
        <v>-23.968805769169187</v>
      </c>
      <c r="O21">
        <v>39.067379961421615</v>
      </c>
      <c r="P21">
        <f t="shared" si="4"/>
        <v>259.2</v>
      </c>
      <c r="Q21">
        <f t="shared" si="5"/>
        <v>0</v>
      </c>
      <c r="R21">
        <f t="shared" si="6"/>
        <v>0</v>
      </c>
    </row>
    <row r="22" spans="1:18" x14ac:dyDescent="0.55000000000000004">
      <c r="A22">
        <v>-20</v>
      </c>
      <c r="B22">
        <v>35</v>
      </c>
      <c r="C22">
        <f>3.1415927/2</f>
        <v>1.57079635</v>
      </c>
      <c r="D22" t="s">
        <v>0</v>
      </c>
      <c r="E22">
        <v>0.32</v>
      </c>
      <c r="F22">
        <v>50</v>
      </c>
      <c r="G22">
        <f>SUMIF(abaqus!A:A,CONCATENATE("=",ABS(F22)),abaqus!B:B)</f>
        <v>7.0685835749999999</v>
      </c>
      <c r="H22">
        <f t="shared" si="7"/>
        <v>-7.0685835749999999</v>
      </c>
      <c r="I22">
        <f t="shared" si="0"/>
        <v>0</v>
      </c>
      <c r="J22">
        <f t="shared" si="1"/>
        <v>0</v>
      </c>
      <c r="K22">
        <f t="shared" ref="K22:K28" si="10">(H22+I22)*0.5*5.6/2</f>
        <v>-9.8960170049999991</v>
      </c>
      <c r="L22">
        <f t="shared" ref="L22:L28" si="11">(H22-I22)/3.97/2*5.6/2</f>
        <v>-2.4926994974811079</v>
      </c>
      <c r="M22">
        <v>44.297229219144654</v>
      </c>
      <c r="N22">
        <v>-21.197426612770823</v>
      </c>
      <c r="O22">
        <v>32.15856331513092</v>
      </c>
      <c r="P22">
        <f t="shared" si="4"/>
        <v>129.6</v>
      </c>
      <c r="Q22">
        <f t="shared" si="5"/>
        <v>0</v>
      </c>
      <c r="R22">
        <f t="shared" si="6"/>
        <v>0</v>
      </c>
    </row>
    <row r="23" spans="1:18" x14ac:dyDescent="0.55000000000000004">
      <c r="A23">
        <v>-20</v>
      </c>
      <c r="B23">
        <v>35</v>
      </c>
      <c r="C23">
        <f>-3.1415927/2</f>
        <v>-1.57079635</v>
      </c>
      <c r="D23" t="s">
        <v>0</v>
      </c>
      <c r="E23">
        <v>0.32</v>
      </c>
      <c r="F23">
        <v>50</v>
      </c>
      <c r="G23">
        <f>SUMIF(abaqus!A:A,CONCATENATE("=",ABS(F23)),abaqus!B:B)</f>
        <v>7.0685835749999999</v>
      </c>
      <c r="H23">
        <f t="shared" si="7"/>
        <v>-7.0685835749999999</v>
      </c>
      <c r="I23">
        <f t="shared" si="0"/>
        <v>0</v>
      </c>
      <c r="J23">
        <f t="shared" si="1"/>
        <v>0</v>
      </c>
      <c r="K23">
        <f t="shared" si="10"/>
        <v>-9.8960170049999991</v>
      </c>
      <c r="L23">
        <f t="shared" si="11"/>
        <v>-2.4926994974811079</v>
      </c>
      <c r="M23">
        <v>-135.70277078085792</v>
      </c>
      <c r="N23">
        <v>-18.802573255357476</v>
      </c>
      <c r="O23">
        <v>37.841436629296339</v>
      </c>
      <c r="P23">
        <f t="shared" si="4"/>
        <v>129.6</v>
      </c>
      <c r="Q23">
        <f t="shared" si="5"/>
        <v>0</v>
      </c>
      <c r="R23">
        <f t="shared" si="6"/>
        <v>0</v>
      </c>
    </row>
    <row r="24" spans="1:18" x14ac:dyDescent="0.55000000000000004">
      <c r="A24">
        <v>-20</v>
      </c>
      <c r="B24">
        <v>35</v>
      </c>
      <c r="C24">
        <f>3.1415927</f>
        <v>3.1415926999999999</v>
      </c>
      <c r="D24" t="s">
        <v>0</v>
      </c>
      <c r="E24">
        <v>0.32</v>
      </c>
      <c r="F24">
        <v>50</v>
      </c>
      <c r="G24">
        <f>SUMIF(abaqus!A:A,CONCATENATE("=",ABS(F24)),abaqus!B:B)</f>
        <v>7.0685835749999999</v>
      </c>
      <c r="H24">
        <f t="shared" si="7"/>
        <v>-7.0685835749999999</v>
      </c>
      <c r="I24">
        <f t="shared" si="0"/>
        <v>0</v>
      </c>
      <c r="J24">
        <f t="shared" si="1"/>
        <v>0</v>
      </c>
      <c r="K24">
        <f t="shared" si="10"/>
        <v>-9.8960170049999991</v>
      </c>
      <c r="L24">
        <f t="shared" si="11"/>
        <v>-2.4926994974811079</v>
      </c>
      <c r="M24">
        <v>134.29722921913768</v>
      </c>
      <c r="N24">
        <v>-17.158563287344549</v>
      </c>
      <c r="O24">
        <v>33.802573453164896</v>
      </c>
      <c r="P24">
        <f t="shared" si="4"/>
        <v>129.6</v>
      </c>
      <c r="Q24">
        <f t="shared" si="5"/>
        <v>0</v>
      </c>
      <c r="R24">
        <f t="shared" si="6"/>
        <v>0</v>
      </c>
    </row>
    <row r="25" spans="1:18" x14ac:dyDescent="0.55000000000000004">
      <c r="A25">
        <v>-20</v>
      </c>
      <c r="B25">
        <v>35</v>
      </c>
      <c r="C25">
        <f>3.1415927/2</f>
        <v>1.57079635</v>
      </c>
      <c r="D25" t="s">
        <v>0</v>
      </c>
      <c r="E25">
        <v>0.32</v>
      </c>
      <c r="F25">
        <v>50</v>
      </c>
      <c r="G25">
        <f>SUMIF(abaqus!A:A,CONCATENATE("=",ABS(F25)),abaqus!B:B)</f>
        <v>7.0685835749999999</v>
      </c>
      <c r="H25">
        <f t="shared" si="7"/>
        <v>-7.0685835749999999</v>
      </c>
      <c r="I25">
        <f t="shared" si="0"/>
        <v>0</v>
      </c>
      <c r="J25">
        <f t="shared" si="1"/>
        <v>0</v>
      </c>
      <c r="K25">
        <f t="shared" si="10"/>
        <v>-9.8960170049999991</v>
      </c>
      <c r="L25">
        <f t="shared" si="11"/>
        <v>-2.4926994974811079</v>
      </c>
      <c r="M25">
        <v>44.297229219144654</v>
      </c>
      <c r="N25">
        <v>-21.197426612770823</v>
      </c>
      <c r="O25">
        <v>32.15856331513092</v>
      </c>
      <c r="P25">
        <f t="shared" si="4"/>
        <v>129.6</v>
      </c>
      <c r="Q25">
        <f t="shared" si="5"/>
        <v>0</v>
      </c>
      <c r="R25">
        <f t="shared" si="6"/>
        <v>0</v>
      </c>
    </row>
    <row r="26" spans="1:18" x14ac:dyDescent="0.55000000000000004">
      <c r="A26">
        <v>-20</v>
      </c>
      <c r="B26">
        <v>35</v>
      </c>
      <c r="C26">
        <f>3.1415927/2</f>
        <v>1.57079635</v>
      </c>
      <c r="D26" t="s">
        <v>0</v>
      </c>
      <c r="E26">
        <v>0.32</v>
      </c>
      <c r="F26">
        <v>50</v>
      </c>
      <c r="G26">
        <f>SUMIF(abaqus!A:A,CONCATENATE("=",ABS(F26)),abaqus!B:B)</f>
        <v>7.0685835749999999</v>
      </c>
      <c r="H26">
        <f t="shared" si="7"/>
        <v>-7.0685835749999999</v>
      </c>
      <c r="I26">
        <f t="shared" si="0"/>
        <v>0</v>
      </c>
      <c r="J26">
        <f t="shared" si="1"/>
        <v>0</v>
      </c>
      <c r="K26">
        <f t="shared" si="10"/>
        <v>-9.8960170049999991</v>
      </c>
      <c r="L26">
        <f t="shared" si="11"/>
        <v>-2.4926994974811079</v>
      </c>
      <c r="M26">
        <v>44.297229219144654</v>
      </c>
      <c r="N26">
        <v>-21.197426612770823</v>
      </c>
      <c r="O26">
        <v>32.15856331513092</v>
      </c>
      <c r="P26">
        <f t="shared" si="4"/>
        <v>129.6</v>
      </c>
      <c r="Q26">
        <f t="shared" si="5"/>
        <v>0</v>
      </c>
      <c r="R26">
        <f t="shared" si="6"/>
        <v>0</v>
      </c>
    </row>
    <row r="27" spans="1:18" x14ac:dyDescent="0.55000000000000004">
      <c r="A27">
        <v>-20</v>
      </c>
      <c r="B27">
        <v>35</v>
      </c>
      <c r="C27">
        <f>-3.1415927/2</f>
        <v>-1.57079635</v>
      </c>
      <c r="D27" t="s">
        <v>0</v>
      </c>
      <c r="E27">
        <v>0.32</v>
      </c>
      <c r="F27">
        <v>50</v>
      </c>
      <c r="G27">
        <f>SUMIF(abaqus!A:A,CONCATENATE("=",ABS(F27)),abaqus!B:B)</f>
        <v>7.0685835749999999</v>
      </c>
      <c r="H27">
        <f t="shared" si="7"/>
        <v>-7.0685835749999999</v>
      </c>
      <c r="I27">
        <f t="shared" si="0"/>
        <v>0</v>
      </c>
      <c r="J27">
        <f t="shared" si="1"/>
        <v>0</v>
      </c>
      <c r="K27">
        <f t="shared" si="10"/>
        <v>-9.8960170049999991</v>
      </c>
      <c r="L27">
        <f t="shared" si="11"/>
        <v>-2.4926994974811079</v>
      </c>
      <c r="M27">
        <v>-135.70277078085792</v>
      </c>
      <c r="N27">
        <v>-18.802573255357476</v>
      </c>
      <c r="O27">
        <v>37.841436629296339</v>
      </c>
      <c r="P27">
        <f t="shared" si="4"/>
        <v>129.6</v>
      </c>
      <c r="Q27">
        <f t="shared" si="5"/>
        <v>0</v>
      </c>
      <c r="R27">
        <f t="shared" si="6"/>
        <v>0</v>
      </c>
    </row>
    <row r="28" spans="1:18" x14ac:dyDescent="0.55000000000000004">
      <c r="A28">
        <v>-20</v>
      </c>
      <c r="B28">
        <v>35</v>
      </c>
      <c r="C28">
        <f>3.1415927</f>
        <v>3.1415926999999999</v>
      </c>
      <c r="D28" t="s">
        <v>0</v>
      </c>
      <c r="E28">
        <v>0.32</v>
      </c>
      <c r="F28">
        <v>50</v>
      </c>
      <c r="G28">
        <f>SUMIF(abaqus!A:A,CONCATENATE("=",ABS(F28)),abaqus!B:B)</f>
        <v>7.0685835749999999</v>
      </c>
      <c r="H28">
        <f t="shared" si="7"/>
        <v>-7.0685835749999999</v>
      </c>
      <c r="I28">
        <f t="shared" si="0"/>
        <v>0</v>
      </c>
      <c r="J28">
        <f t="shared" si="1"/>
        <v>0</v>
      </c>
      <c r="K28">
        <f t="shared" si="10"/>
        <v>-9.8960170049999991</v>
      </c>
      <c r="L28">
        <f t="shared" si="11"/>
        <v>-2.4926994974811079</v>
      </c>
      <c r="M28">
        <v>134.29722921913768</v>
      </c>
      <c r="N28">
        <v>-17.158563287344549</v>
      </c>
      <c r="O28">
        <v>33.802573453164896</v>
      </c>
      <c r="P28">
        <f t="shared" si="4"/>
        <v>129.6</v>
      </c>
      <c r="Q28">
        <f t="shared" si="5"/>
        <v>0</v>
      </c>
      <c r="R28">
        <f t="shared" si="6"/>
        <v>0</v>
      </c>
    </row>
    <row r="29" spans="1:18" x14ac:dyDescent="0.55000000000000004">
      <c r="A29">
        <v>0</v>
      </c>
      <c r="B29">
        <v>0</v>
      </c>
      <c r="C29">
        <v>0</v>
      </c>
      <c r="D29" t="s">
        <v>4</v>
      </c>
      <c r="E29">
        <v>0.64</v>
      </c>
      <c r="F29">
        <v>20</v>
      </c>
      <c r="G29">
        <f>SUMIF(abaqus!A:A,CONCATENATE("=",ABS(F29)),abaqus!B:B)</f>
        <v>2.8274334300000001</v>
      </c>
      <c r="H29">
        <f t="shared" si="7"/>
        <v>0</v>
      </c>
      <c r="I29">
        <f t="shared" si="0"/>
        <v>2.8274334300000001</v>
      </c>
      <c r="J29">
        <f t="shared" si="1"/>
        <v>0</v>
      </c>
      <c r="K29">
        <f>(H29+I29)*0.5*5.6/2</f>
        <v>3.9584068019999998</v>
      </c>
      <c r="L29">
        <f>(H29-I29)/3.97/2*5.6/2</f>
        <v>-0.99707979899244337</v>
      </c>
      <c r="M29">
        <v>-36.562216624685881</v>
      </c>
      <c r="N29">
        <v>2.3649105224142062</v>
      </c>
      <c r="O29">
        <v>-0.78125443391699878</v>
      </c>
      <c r="P29">
        <f>-H29*$E29/3.1415927*180</f>
        <v>0</v>
      </c>
      <c r="Q29">
        <f>I29*$E29/3.1415927*180</f>
        <v>103.68</v>
      </c>
      <c r="R29">
        <f t="shared" si="6"/>
        <v>0</v>
      </c>
    </row>
    <row r="30" spans="1:18" x14ac:dyDescent="0.55000000000000004">
      <c r="A30">
        <v>0</v>
      </c>
      <c r="B30">
        <v>0</v>
      </c>
      <c r="C30">
        <v>0</v>
      </c>
      <c r="D30" t="s">
        <v>4</v>
      </c>
      <c r="E30">
        <v>0.64</v>
      </c>
      <c r="F30">
        <v>-20</v>
      </c>
      <c r="G30">
        <f>SUMIF(abaqus!A:A,CONCATENATE("=",ABS(F30)),abaqus!B:B)</f>
        <v>2.8274334300000001</v>
      </c>
      <c r="H30">
        <f t="shared" si="7"/>
        <v>0</v>
      </c>
      <c r="I30">
        <f t="shared" si="0"/>
        <v>-2.8274334300000001</v>
      </c>
      <c r="J30">
        <f t="shared" si="1"/>
        <v>0</v>
      </c>
      <c r="K30">
        <f t="shared" ref="K30:K37" si="12">(H30+I30)*0.5*5.6/2</f>
        <v>-3.9584068019999998</v>
      </c>
      <c r="L30">
        <f t="shared" ref="L30:L37" si="13">(H30-I30)/3.97/2*5.6/2</f>
        <v>0.99707979899244337</v>
      </c>
      <c r="M30">
        <v>36.562216624685881</v>
      </c>
      <c r="N30">
        <v>-2.3649105224142062</v>
      </c>
      <c r="O30">
        <v>-0.78125443391699878</v>
      </c>
      <c r="P30">
        <f t="shared" ref="P30:P55" si="14">-H30*$E30/3.1415927*180</f>
        <v>0</v>
      </c>
      <c r="Q30">
        <f t="shared" ref="Q30:Q55" si="15">I30*$E30/3.1415927*180</f>
        <v>-103.68</v>
      </c>
      <c r="R30">
        <f t="shared" si="6"/>
        <v>0</v>
      </c>
    </row>
    <row r="31" spans="1:18" x14ac:dyDescent="0.55000000000000004">
      <c r="A31">
        <v>0</v>
      </c>
      <c r="B31">
        <v>0</v>
      </c>
      <c r="C31">
        <v>0</v>
      </c>
      <c r="D31" t="s">
        <v>4</v>
      </c>
      <c r="E31">
        <v>0.64</v>
      </c>
      <c r="F31">
        <v>40</v>
      </c>
      <c r="G31">
        <f>SUMIF(abaqus!A:A,CONCATENATE("=",ABS(F31)),abaqus!B:B)</f>
        <v>5.6548668600000003</v>
      </c>
      <c r="H31">
        <f t="shared" si="7"/>
        <v>0</v>
      </c>
      <c r="I31">
        <f t="shared" si="0"/>
        <v>5.6548668600000003</v>
      </c>
      <c r="J31">
        <f t="shared" si="1"/>
        <v>0</v>
      </c>
      <c r="K31">
        <f t="shared" si="12"/>
        <v>7.9168136039999997</v>
      </c>
      <c r="L31">
        <f t="shared" si="13"/>
        <v>-1.9941595979848867</v>
      </c>
      <c r="M31">
        <v>-73.124433249371762</v>
      </c>
      <c r="N31">
        <v>3.7990419123173225</v>
      </c>
      <c r="O31">
        <v>-2.8175324407368363</v>
      </c>
      <c r="P31">
        <f t="shared" si="14"/>
        <v>0</v>
      </c>
      <c r="Q31">
        <f t="shared" si="15"/>
        <v>207.36</v>
      </c>
      <c r="R31">
        <f t="shared" si="6"/>
        <v>0</v>
      </c>
    </row>
    <row r="32" spans="1:18" x14ac:dyDescent="0.55000000000000004">
      <c r="A32">
        <v>0</v>
      </c>
      <c r="B32">
        <v>0</v>
      </c>
      <c r="C32">
        <v>0</v>
      </c>
      <c r="D32" t="s">
        <v>4</v>
      </c>
      <c r="E32">
        <v>0.64</v>
      </c>
      <c r="F32">
        <v>-40</v>
      </c>
      <c r="G32">
        <f>SUMIF(abaqus!A:A,CONCATENATE("=",ABS(F32)),abaqus!B:B)</f>
        <v>5.6548668600000003</v>
      </c>
      <c r="H32">
        <f t="shared" si="7"/>
        <v>0</v>
      </c>
      <c r="I32">
        <f t="shared" si="0"/>
        <v>-5.6548668600000003</v>
      </c>
      <c r="J32">
        <f t="shared" si="1"/>
        <v>0</v>
      </c>
      <c r="K32">
        <f t="shared" si="12"/>
        <v>-7.9168136039999997</v>
      </c>
      <c r="L32">
        <f t="shared" si="13"/>
        <v>1.9941595979848867</v>
      </c>
      <c r="M32">
        <v>73.124433249371762</v>
      </c>
      <c r="N32">
        <v>-3.7990419123173225</v>
      </c>
      <c r="O32">
        <v>-2.8175324407368363</v>
      </c>
      <c r="P32">
        <f t="shared" si="14"/>
        <v>0</v>
      </c>
      <c r="Q32">
        <f t="shared" si="15"/>
        <v>-207.36</v>
      </c>
      <c r="R32">
        <f t="shared" si="6"/>
        <v>0</v>
      </c>
    </row>
    <row r="33" spans="1:18" x14ac:dyDescent="0.55000000000000004">
      <c r="A33">
        <v>0</v>
      </c>
      <c r="B33">
        <v>0</v>
      </c>
      <c r="C33">
        <v>0</v>
      </c>
      <c r="D33" t="s">
        <v>4</v>
      </c>
      <c r="E33">
        <v>1.28</v>
      </c>
      <c r="F33">
        <v>-20</v>
      </c>
      <c r="G33">
        <f>SUMIF(abaqus!A:A,CONCATENATE("=",ABS(F33)),abaqus!B:B)</f>
        <v>2.8274334300000001</v>
      </c>
      <c r="H33">
        <f t="shared" si="7"/>
        <v>0</v>
      </c>
      <c r="I33">
        <f t="shared" si="0"/>
        <v>-2.8274334300000001</v>
      </c>
      <c r="J33">
        <f t="shared" si="1"/>
        <v>0</v>
      </c>
      <c r="K33">
        <f t="shared" si="12"/>
        <v>-3.9584068019999998</v>
      </c>
      <c r="L33">
        <f t="shared" si="13"/>
        <v>0.99707979899244337</v>
      </c>
      <c r="M33">
        <v>73.124433249378427</v>
      </c>
      <c r="N33">
        <v>-3.7990417942896531</v>
      </c>
      <c r="O33">
        <v>-2.8175323532026519</v>
      </c>
      <c r="P33">
        <f t="shared" si="14"/>
        <v>0</v>
      </c>
      <c r="Q33">
        <f t="shared" si="15"/>
        <v>-207.36</v>
      </c>
      <c r="R33">
        <f t="shared" si="6"/>
        <v>0</v>
      </c>
    </row>
    <row r="34" spans="1:18" x14ac:dyDescent="0.55000000000000004">
      <c r="A34">
        <v>0</v>
      </c>
      <c r="B34">
        <v>0</v>
      </c>
      <c r="C34">
        <v>0</v>
      </c>
      <c r="D34" t="s">
        <v>4</v>
      </c>
      <c r="E34">
        <v>0.32</v>
      </c>
      <c r="F34">
        <v>50</v>
      </c>
      <c r="G34">
        <f>SUMIF(abaqus!A:A,CONCATENATE("=",ABS(F34)),abaqus!B:B)</f>
        <v>7.0685835749999999</v>
      </c>
      <c r="H34">
        <f t="shared" si="7"/>
        <v>0</v>
      </c>
      <c r="I34">
        <f t="shared" si="0"/>
        <v>7.0685835749999999</v>
      </c>
      <c r="J34">
        <f t="shared" si="1"/>
        <v>0</v>
      </c>
      <c r="K34">
        <f t="shared" si="12"/>
        <v>9.8960170049999991</v>
      </c>
      <c r="L34">
        <f t="shared" si="13"/>
        <v>-2.4926994974811079</v>
      </c>
      <c r="M34">
        <v>-45.702770780856994</v>
      </c>
      <c r="N34">
        <v>2.8414366570827072</v>
      </c>
      <c r="O34">
        <v>-1.1974266787067149</v>
      </c>
      <c r="P34">
        <f t="shared" si="14"/>
        <v>0</v>
      </c>
      <c r="Q34">
        <f t="shared" si="15"/>
        <v>129.6</v>
      </c>
      <c r="R34">
        <f t="shared" si="6"/>
        <v>0</v>
      </c>
    </row>
    <row r="35" spans="1:18" x14ac:dyDescent="0.55000000000000004">
      <c r="A35">
        <v>0</v>
      </c>
      <c r="B35">
        <v>0</v>
      </c>
      <c r="C35">
        <v>0</v>
      </c>
      <c r="D35" t="s">
        <v>4</v>
      </c>
      <c r="E35">
        <v>0.32</v>
      </c>
      <c r="F35">
        <v>-50</v>
      </c>
      <c r="G35">
        <f>SUMIF(abaqus!A:A,CONCATENATE("=",ABS(F35)),abaqus!B:B)</f>
        <v>7.0685835749999999</v>
      </c>
      <c r="H35">
        <f t="shared" si="7"/>
        <v>0</v>
      </c>
      <c r="I35">
        <f t="shared" si="0"/>
        <v>-7.0685835749999999</v>
      </c>
      <c r="J35">
        <f t="shared" si="1"/>
        <v>0</v>
      </c>
      <c r="K35">
        <f t="shared" si="12"/>
        <v>-9.8960170049999991</v>
      </c>
      <c r="L35">
        <f t="shared" si="13"/>
        <v>2.4926994974811079</v>
      </c>
      <c r="M35">
        <v>45.702770780856994</v>
      </c>
      <c r="N35">
        <v>-2.8414366570827072</v>
      </c>
      <c r="O35">
        <v>-1.1974266787067149</v>
      </c>
      <c r="P35">
        <f t="shared" si="14"/>
        <v>0</v>
      </c>
      <c r="Q35">
        <f t="shared" si="15"/>
        <v>-129.6</v>
      </c>
      <c r="R35">
        <f t="shared" si="6"/>
        <v>0</v>
      </c>
    </row>
    <row r="36" spans="1:18" x14ac:dyDescent="0.55000000000000004">
      <c r="A36">
        <v>0</v>
      </c>
      <c r="B36">
        <v>0</v>
      </c>
      <c r="C36">
        <v>0</v>
      </c>
      <c r="D36" t="s">
        <v>4</v>
      </c>
      <c r="E36">
        <v>0.64</v>
      </c>
      <c r="F36">
        <v>50</v>
      </c>
      <c r="G36">
        <f>SUMIF(abaqus!A:A,CONCATENATE("=",ABS(F36)),abaqus!B:B)</f>
        <v>7.0685835749999999</v>
      </c>
      <c r="H36">
        <f t="shared" si="7"/>
        <v>0</v>
      </c>
      <c r="I36">
        <f t="shared" si="0"/>
        <v>7.0685835749999999</v>
      </c>
      <c r="J36">
        <f t="shared" si="1"/>
        <v>0</v>
      </c>
      <c r="K36">
        <f t="shared" si="12"/>
        <v>9.8960170049999991</v>
      </c>
      <c r="L36">
        <f t="shared" si="13"/>
        <v>-2.4926994974811079</v>
      </c>
      <c r="M36">
        <v>-91.405541561714443</v>
      </c>
      <c r="N36">
        <v>3.9688057691691867</v>
      </c>
      <c r="O36">
        <v>-4.0673799614215751</v>
      </c>
      <c r="P36">
        <f t="shared" si="14"/>
        <v>0</v>
      </c>
      <c r="Q36">
        <f t="shared" si="15"/>
        <v>259.2</v>
      </c>
      <c r="R36">
        <f t="shared" si="6"/>
        <v>0</v>
      </c>
    </row>
    <row r="37" spans="1:18" x14ac:dyDescent="0.55000000000000004">
      <c r="A37">
        <v>0</v>
      </c>
      <c r="B37">
        <v>0</v>
      </c>
      <c r="C37">
        <v>0</v>
      </c>
      <c r="D37" t="s">
        <v>4</v>
      </c>
      <c r="E37">
        <v>1.6</v>
      </c>
      <c r="F37">
        <v>-50</v>
      </c>
      <c r="G37">
        <f>SUMIF(abaqus!A:A,CONCATENATE("=",ABS(F37)),abaqus!B:B)</f>
        <v>7.0685835749999999</v>
      </c>
      <c r="H37">
        <f t="shared" si="7"/>
        <v>0</v>
      </c>
      <c r="I37">
        <f t="shared" si="0"/>
        <v>-7.0685835749999999</v>
      </c>
      <c r="J37">
        <f t="shared" si="1"/>
        <v>0</v>
      </c>
      <c r="K37">
        <f t="shared" si="12"/>
        <v>-9.8960170049999991</v>
      </c>
      <c r="L37">
        <f t="shared" si="13"/>
        <v>2.4926994974811079</v>
      </c>
      <c r="M37">
        <v>228.5138539043125</v>
      </c>
      <c r="N37">
        <v>2.9739905416311152</v>
      </c>
      <c r="O37">
        <v>-6.5998828205921658</v>
      </c>
      <c r="P37">
        <f t="shared" si="14"/>
        <v>0</v>
      </c>
      <c r="Q37">
        <f t="shared" si="15"/>
        <v>-648</v>
      </c>
      <c r="R37">
        <f t="shared" si="6"/>
        <v>0</v>
      </c>
    </row>
    <row r="38" spans="1:18" x14ac:dyDescent="0.55000000000000004">
      <c r="A38">
        <v>0</v>
      </c>
      <c r="B38">
        <v>0</v>
      </c>
      <c r="C38">
        <f>3.1415927/2</f>
        <v>1.57079635</v>
      </c>
      <c r="D38" t="s">
        <v>4</v>
      </c>
      <c r="E38">
        <v>0.64</v>
      </c>
      <c r="F38">
        <v>20</v>
      </c>
      <c r="G38">
        <f>SUMIF(abaqus!A:A,CONCATENATE("=",ABS(F38)),abaqus!B:B)</f>
        <v>2.8274334300000001</v>
      </c>
      <c r="H38">
        <f t="shared" si="7"/>
        <v>0</v>
      </c>
      <c r="I38">
        <f t="shared" si="0"/>
        <v>2.8274334300000001</v>
      </c>
      <c r="J38">
        <f t="shared" si="1"/>
        <v>0</v>
      </c>
      <c r="K38">
        <f>(H38+I38)*0.5*5.6/2</f>
        <v>3.9584068019999998</v>
      </c>
      <c r="L38">
        <f>(H38-I38)/3.97/2*5.6/2</f>
        <v>-0.99707979899244337</v>
      </c>
      <c r="M38">
        <v>53.437783375306857</v>
      </c>
      <c r="N38">
        <v>0.78125437903916561</v>
      </c>
      <c r="O38">
        <v>2.3649105405432236</v>
      </c>
      <c r="P38">
        <f t="shared" si="14"/>
        <v>0</v>
      </c>
      <c r="Q38">
        <f t="shared" si="15"/>
        <v>103.68</v>
      </c>
      <c r="R38">
        <f t="shared" si="6"/>
        <v>0</v>
      </c>
    </row>
    <row r="39" spans="1:18" x14ac:dyDescent="0.55000000000000004">
      <c r="A39">
        <v>0</v>
      </c>
      <c r="B39">
        <v>0</v>
      </c>
      <c r="C39">
        <f>-3.1415927/2</f>
        <v>-1.57079635</v>
      </c>
      <c r="D39" t="s">
        <v>4</v>
      </c>
      <c r="E39">
        <v>0.64</v>
      </c>
      <c r="F39">
        <v>20</v>
      </c>
      <c r="G39">
        <f>SUMIF(abaqus!A:A,CONCATENATE("=",ABS(F39)),abaqus!B:B)</f>
        <v>2.8274334300000001</v>
      </c>
      <c r="H39">
        <f t="shared" si="7"/>
        <v>0</v>
      </c>
      <c r="I39">
        <f t="shared" si="0"/>
        <v>2.8274334300000001</v>
      </c>
      <c r="J39">
        <f t="shared" si="1"/>
        <v>0</v>
      </c>
      <c r="K39">
        <f>(H39+I39)*0.5*5.6/2</f>
        <v>3.9584068019999998</v>
      </c>
      <c r="L39">
        <f>(H39-I39)/3.97/2*5.6/2</f>
        <v>-0.99707979899244337</v>
      </c>
      <c r="M39">
        <v>-126.56221662468869</v>
      </c>
      <c r="N39">
        <v>-0.78125448879512116</v>
      </c>
      <c r="O39">
        <v>-2.3649105042850689</v>
      </c>
      <c r="P39">
        <f t="shared" si="14"/>
        <v>0</v>
      </c>
      <c r="Q39">
        <f t="shared" si="15"/>
        <v>103.68</v>
      </c>
      <c r="R39">
        <f t="shared" si="6"/>
        <v>0</v>
      </c>
    </row>
    <row r="40" spans="1:18" x14ac:dyDescent="0.55000000000000004">
      <c r="A40">
        <v>0</v>
      </c>
      <c r="B40">
        <v>0</v>
      </c>
      <c r="C40">
        <f>3.1415927</f>
        <v>3.1415926999999999</v>
      </c>
      <c r="D40" t="s">
        <v>4</v>
      </c>
      <c r="E40">
        <v>0.64</v>
      </c>
      <c r="F40">
        <v>20</v>
      </c>
      <c r="G40">
        <f>SUMIF(abaqus!A:A,CONCATENATE("=",ABS(F40)),abaqus!B:B)</f>
        <v>2.8274334300000001</v>
      </c>
      <c r="H40">
        <f t="shared" si="7"/>
        <v>0</v>
      </c>
      <c r="I40">
        <f t="shared" si="0"/>
        <v>2.8274334300000001</v>
      </c>
      <c r="J40">
        <f t="shared" si="1"/>
        <v>0</v>
      </c>
      <c r="K40">
        <f>(H40+I40)*0.5*5.6/2</f>
        <v>3.9584068019999998</v>
      </c>
      <c r="L40">
        <f>(H40-I40)/3.97/2*5.6/2</f>
        <v>-0.99707979899244337</v>
      </c>
      <c r="M40">
        <v>143.43778337532225</v>
      </c>
      <c r="N40">
        <v>-2.3649105586724617</v>
      </c>
      <c r="O40">
        <v>0.78125432416085028</v>
      </c>
      <c r="P40">
        <f t="shared" si="14"/>
        <v>0</v>
      </c>
      <c r="Q40">
        <f t="shared" si="15"/>
        <v>103.68</v>
      </c>
      <c r="R40">
        <f t="shared" si="6"/>
        <v>0</v>
      </c>
    </row>
    <row r="41" spans="1:18" x14ac:dyDescent="0.55000000000000004">
      <c r="A41">
        <v>0</v>
      </c>
      <c r="B41">
        <v>0</v>
      </c>
      <c r="C41">
        <f>3.1415927/2</f>
        <v>1.57079635</v>
      </c>
      <c r="D41" t="s">
        <v>4</v>
      </c>
      <c r="E41">
        <v>0.32</v>
      </c>
      <c r="F41">
        <v>-50</v>
      </c>
      <c r="G41">
        <f>SUMIF(abaqus!A:A,CONCATENATE("=",ABS(F41)),abaqus!B:B)</f>
        <v>7.0685835749999999</v>
      </c>
      <c r="H41">
        <f t="shared" si="7"/>
        <v>0</v>
      </c>
      <c r="I41">
        <f t="shared" si="0"/>
        <v>-7.0685835749999999</v>
      </c>
      <c r="J41">
        <f t="shared" si="1"/>
        <v>0</v>
      </c>
      <c r="K41">
        <f t="shared" ref="K41:K43" si="16">(H41+I41)*0.5*5.6/2</f>
        <v>-9.8960170049999991</v>
      </c>
      <c r="L41">
        <f t="shared" ref="L41:L43" si="17">(H41-I41)/3.97/2*5.6/2</f>
        <v>2.4926994974811079</v>
      </c>
      <c r="M41">
        <v>135.70277078085792</v>
      </c>
      <c r="N41">
        <v>1.197426744642528</v>
      </c>
      <c r="O41">
        <v>-2.8414366292962958</v>
      </c>
      <c r="P41">
        <f t="shared" si="14"/>
        <v>0</v>
      </c>
      <c r="Q41">
        <f t="shared" si="15"/>
        <v>-129.6</v>
      </c>
      <c r="R41">
        <f t="shared" si="6"/>
        <v>0</v>
      </c>
    </row>
    <row r="42" spans="1:18" x14ac:dyDescent="0.55000000000000004">
      <c r="A42">
        <v>0</v>
      </c>
      <c r="B42">
        <v>0</v>
      </c>
      <c r="C42">
        <f>-3.1415927/2</f>
        <v>-1.57079635</v>
      </c>
      <c r="D42" t="s">
        <v>4</v>
      </c>
      <c r="E42">
        <v>0.32</v>
      </c>
      <c r="F42">
        <v>-50</v>
      </c>
      <c r="G42">
        <f>SUMIF(abaqus!A:A,CONCATENATE("=",ABS(F42)),abaqus!B:B)</f>
        <v>7.0685835749999999</v>
      </c>
      <c r="H42">
        <f t="shared" si="7"/>
        <v>0</v>
      </c>
      <c r="I42">
        <f t="shared" si="0"/>
        <v>-7.0685835749999999</v>
      </c>
      <c r="J42">
        <f t="shared" si="1"/>
        <v>0</v>
      </c>
      <c r="K42">
        <f t="shared" si="16"/>
        <v>-9.8960170049999991</v>
      </c>
      <c r="L42">
        <f t="shared" si="17"/>
        <v>2.4926994974811079</v>
      </c>
      <c r="M42">
        <v>-44.297229219144654</v>
      </c>
      <c r="N42">
        <v>-1.197426612770836</v>
      </c>
      <c r="O42">
        <v>2.8414366848691373</v>
      </c>
      <c r="P42">
        <f t="shared" si="14"/>
        <v>0</v>
      </c>
      <c r="Q42">
        <f t="shared" si="15"/>
        <v>-129.6</v>
      </c>
      <c r="R42">
        <f t="shared" si="6"/>
        <v>0</v>
      </c>
    </row>
    <row r="43" spans="1:18" x14ac:dyDescent="0.55000000000000004">
      <c r="A43">
        <v>0</v>
      </c>
      <c r="B43">
        <v>0</v>
      </c>
      <c r="C43">
        <f>3.1415927</f>
        <v>3.1415926999999999</v>
      </c>
      <c r="D43" t="s">
        <v>4</v>
      </c>
      <c r="E43">
        <v>0.32</v>
      </c>
      <c r="F43">
        <v>-50</v>
      </c>
      <c r="G43">
        <f>SUMIF(abaqus!A:A,CONCATENATE("=",ABS(F43)),abaqus!B:B)</f>
        <v>7.0685835749999999</v>
      </c>
      <c r="H43">
        <f t="shared" si="7"/>
        <v>0</v>
      </c>
      <c r="I43">
        <f t="shared" si="0"/>
        <v>-7.0685835749999999</v>
      </c>
      <c r="J43">
        <f t="shared" si="1"/>
        <v>0</v>
      </c>
      <c r="K43">
        <f t="shared" si="16"/>
        <v>-9.8960170049999991</v>
      </c>
      <c r="L43">
        <f t="shared" si="17"/>
        <v>2.4926994974811079</v>
      </c>
      <c r="M43">
        <v>225.70277078086229</v>
      </c>
      <c r="N43">
        <v>2.8414366015097956</v>
      </c>
      <c r="O43">
        <v>1.1974268105785106</v>
      </c>
      <c r="P43">
        <f t="shared" si="14"/>
        <v>0</v>
      </c>
      <c r="Q43">
        <f t="shared" si="15"/>
        <v>-129.6</v>
      </c>
      <c r="R43">
        <f t="shared" si="6"/>
        <v>0</v>
      </c>
    </row>
    <row r="44" spans="1:18" x14ac:dyDescent="0.55000000000000004">
      <c r="A44">
        <v>-20</v>
      </c>
      <c r="B44">
        <v>35</v>
      </c>
      <c r="C44">
        <v>0</v>
      </c>
      <c r="D44" t="s">
        <v>4</v>
      </c>
      <c r="E44">
        <v>0.64</v>
      </c>
      <c r="F44">
        <v>20</v>
      </c>
      <c r="G44">
        <f>SUMIF(abaqus!A:A,CONCATENATE("=",ABS(F44)),abaqus!B:B)</f>
        <v>2.8274334300000001</v>
      </c>
      <c r="H44">
        <f t="shared" si="7"/>
        <v>0</v>
      </c>
      <c r="I44">
        <f t="shared" si="0"/>
        <v>2.8274334300000001</v>
      </c>
      <c r="J44">
        <f t="shared" si="1"/>
        <v>0</v>
      </c>
      <c r="K44">
        <f>(H44+I44)*0.5*5.6/2</f>
        <v>3.9584068019999998</v>
      </c>
      <c r="L44">
        <f>(H44-I44)/3.97/2*5.6/2</f>
        <v>-0.99707979899244337</v>
      </c>
      <c r="M44">
        <v>-36.562216624685881</v>
      </c>
      <c r="N44">
        <v>-17.635089477585815</v>
      </c>
      <c r="O44">
        <v>34.21874556608288</v>
      </c>
      <c r="P44">
        <f t="shared" si="14"/>
        <v>0</v>
      </c>
      <c r="Q44">
        <f t="shared" si="15"/>
        <v>103.68</v>
      </c>
      <c r="R44">
        <f t="shared" si="6"/>
        <v>0</v>
      </c>
    </row>
    <row r="45" spans="1:18" x14ac:dyDescent="0.55000000000000004">
      <c r="A45">
        <v>-20</v>
      </c>
      <c r="B45">
        <v>35</v>
      </c>
      <c r="C45">
        <f>3.1415927/2</f>
        <v>1.57079635</v>
      </c>
      <c r="D45" t="s">
        <v>4</v>
      </c>
      <c r="E45">
        <v>0.64</v>
      </c>
      <c r="F45">
        <v>20</v>
      </c>
      <c r="G45">
        <f>SUMIF(abaqus!A:A,CONCATENATE("=",ABS(F45)),abaqus!B:B)</f>
        <v>2.8274334300000001</v>
      </c>
      <c r="H45">
        <f t="shared" si="7"/>
        <v>0</v>
      </c>
      <c r="I45">
        <f t="shared" si="0"/>
        <v>2.8274334300000001</v>
      </c>
      <c r="J45">
        <f t="shared" si="1"/>
        <v>0</v>
      </c>
      <c r="K45">
        <f>(H45+I45)*0.5*5.6/2</f>
        <v>3.9584068019999998</v>
      </c>
      <c r="L45">
        <f>(H45-I45)/3.97/2*5.6/2</f>
        <v>-0.99707979899244337</v>
      </c>
      <c r="M45">
        <v>53.437783375306857</v>
      </c>
      <c r="N45">
        <v>-19.218745620960817</v>
      </c>
      <c r="O45">
        <v>37.364910540543242</v>
      </c>
      <c r="P45">
        <f t="shared" si="14"/>
        <v>0</v>
      </c>
      <c r="Q45">
        <f t="shared" si="15"/>
        <v>103.68</v>
      </c>
      <c r="R45">
        <f t="shared" si="6"/>
        <v>0</v>
      </c>
    </row>
    <row r="46" spans="1:18" x14ac:dyDescent="0.55000000000000004">
      <c r="A46">
        <v>-20</v>
      </c>
      <c r="B46">
        <v>35</v>
      </c>
      <c r="C46">
        <f>-3.1415927/2</f>
        <v>-1.57079635</v>
      </c>
      <c r="D46" t="s">
        <v>4</v>
      </c>
      <c r="E46">
        <v>0.64</v>
      </c>
      <c r="F46">
        <v>20</v>
      </c>
      <c r="G46">
        <f>SUMIF(abaqus!A:A,CONCATENATE("=",ABS(F46)),abaqus!B:B)</f>
        <v>2.8274334300000001</v>
      </c>
      <c r="H46">
        <f t="shared" si="7"/>
        <v>0</v>
      </c>
      <c r="I46">
        <f t="shared" si="0"/>
        <v>2.8274334300000001</v>
      </c>
      <c r="J46">
        <f t="shared" si="1"/>
        <v>0</v>
      </c>
      <c r="K46">
        <f>(H46+I46)*0.5*5.6/2</f>
        <v>3.9584068019999998</v>
      </c>
      <c r="L46">
        <f>(H46-I46)/3.97/2*5.6/2</f>
        <v>-0.99707979899244337</v>
      </c>
      <c r="M46">
        <v>-126.56221662468869</v>
      </c>
      <c r="N46">
        <v>-20.781254488795195</v>
      </c>
      <c r="O46">
        <v>32.635089495714872</v>
      </c>
      <c r="P46">
        <f t="shared" si="14"/>
        <v>0</v>
      </c>
      <c r="Q46">
        <f t="shared" si="15"/>
        <v>103.68</v>
      </c>
      <c r="R46">
        <f t="shared" si="6"/>
        <v>0</v>
      </c>
    </row>
    <row r="47" spans="1:18" x14ac:dyDescent="0.55000000000000004">
      <c r="A47">
        <v>-20</v>
      </c>
      <c r="B47">
        <v>35</v>
      </c>
      <c r="C47">
        <f>3.1415927</f>
        <v>3.1415926999999999</v>
      </c>
      <c r="D47" t="s">
        <v>4</v>
      </c>
      <c r="E47">
        <v>0.64</v>
      </c>
      <c r="F47">
        <v>20</v>
      </c>
      <c r="G47">
        <f>SUMIF(abaqus!A:A,CONCATENATE("=",ABS(F47)),abaqus!B:B)</f>
        <v>2.8274334300000001</v>
      </c>
      <c r="H47">
        <f t="shared" si="7"/>
        <v>0</v>
      </c>
      <c r="I47">
        <f t="shared" si="0"/>
        <v>2.8274334300000001</v>
      </c>
      <c r="J47">
        <f t="shared" si="1"/>
        <v>0</v>
      </c>
      <c r="K47">
        <f>(H47+I47)*0.5*5.6/2</f>
        <v>3.9584068019999998</v>
      </c>
      <c r="L47">
        <f>(H47-I47)/3.97/2*5.6/2</f>
        <v>-0.99707979899244337</v>
      </c>
      <c r="M47">
        <v>143.43778337532225</v>
      </c>
      <c r="N47">
        <v>-22.364910558672467</v>
      </c>
      <c r="O47">
        <v>35.781254324160891</v>
      </c>
      <c r="P47">
        <f t="shared" si="14"/>
        <v>0</v>
      </c>
      <c r="Q47">
        <f t="shared" si="15"/>
        <v>103.68</v>
      </c>
      <c r="R47">
        <f t="shared" si="6"/>
        <v>0</v>
      </c>
    </row>
    <row r="48" spans="1:18" x14ac:dyDescent="0.55000000000000004">
      <c r="A48">
        <v>-20</v>
      </c>
      <c r="B48">
        <v>35</v>
      </c>
      <c r="C48">
        <v>0</v>
      </c>
      <c r="D48" t="s">
        <v>4</v>
      </c>
      <c r="E48">
        <v>0.64</v>
      </c>
      <c r="F48">
        <v>50</v>
      </c>
      <c r="G48">
        <f>SUMIF(abaqus!A:A,CONCATENATE("=",ABS(F48)),abaqus!B:B)</f>
        <v>7.0685835749999999</v>
      </c>
      <c r="H48">
        <f t="shared" si="7"/>
        <v>0</v>
      </c>
      <c r="I48">
        <f t="shared" si="0"/>
        <v>7.0685835749999999</v>
      </c>
      <c r="J48">
        <f t="shared" si="1"/>
        <v>0</v>
      </c>
      <c r="K48">
        <f>(H48+I48)*0.5*5.6/2</f>
        <v>9.8960170049999991</v>
      </c>
      <c r="L48">
        <f>(H48-I48)/3.97/2*5.6/2</f>
        <v>-2.4926994974811079</v>
      </c>
      <c r="M48">
        <v>-91.405541561714443</v>
      </c>
      <c r="N48">
        <v>-16.031194230830813</v>
      </c>
      <c r="O48">
        <v>30.932620038578399</v>
      </c>
      <c r="P48">
        <f t="shared" si="14"/>
        <v>0</v>
      </c>
      <c r="Q48">
        <f t="shared" si="15"/>
        <v>259.2</v>
      </c>
      <c r="R48">
        <f t="shared" si="6"/>
        <v>0</v>
      </c>
    </row>
    <row r="49" spans="1:18" x14ac:dyDescent="0.55000000000000004">
      <c r="A49">
        <v>-20</v>
      </c>
      <c r="B49">
        <v>35</v>
      </c>
      <c r="C49">
        <f>3.1415927/2</f>
        <v>1.57079635</v>
      </c>
      <c r="D49" t="s">
        <v>4</v>
      </c>
      <c r="E49">
        <v>0.32</v>
      </c>
      <c r="F49">
        <v>50</v>
      </c>
      <c r="G49">
        <f>SUMIF(abaqus!A:A,CONCATENATE("=",ABS(F49)),abaqus!B:B)</f>
        <v>7.0685835749999999</v>
      </c>
      <c r="H49">
        <f t="shared" si="7"/>
        <v>0</v>
      </c>
      <c r="I49">
        <f t="shared" si="0"/>
        <v>7.0685835749999999</v>
      </c>
      <c r="J49">
        <f t="shared" si="1"/>
        <v>0</v>
      </c>
      <c r="K49">
        <f t="shared" ref="K49:K55" si="18">(H49+I49)*0.5*5.6/2</f>
        <v>9.8960170049999991</v>
      </c>
      <c r="L49">
        <f t="shared" ref="L49:L55" si="19">(H49-I49)/3.97/2*5.6/2</f>
        <v>-2.4926994974811079</v>
      </c>
      <c r="M49">
        <v>44.297229219144654</v>
      </c>
      <c r="N49">
        <v>-18.802573387229177</v>
      </c>
      <c r="O49">
        <v>37.84143668486908</v>
      </c>
      <c r="P49">
        <f t="shared" si="14"/>
        <v>0</v>
      </c>
      <c r="Q49">
        <f t="shared" si="15"/>
        <v>129.6</v>
      </c>
      <c r="R49">
        <f t="shared" si="6"/>
        <v>0</v>
      </c>
    </row>
    <row r="50" spans="1:18" x14ac:dyDescent="0.55000000000000004">
      <c r="A50">
        <v>-20</v>
      </c>
      <c r="B50">
        <v>35</v>
      </c>
      <c r="C50">
        <f>-3.1415927/2</f>
        <v>-1.57079635</v>
      </c>
      <c r="D50" t="s">
        <v>4</v>
      </c>
      <c r="E50">
        <v>0.32</v>
      </c>
      <c r="F50">
        <v>50</v>
      </c>
      <c r="G50">
        <f>SUMIF(abaqus!A:A,CONCATENATE("=",ABS(F50)),abaqus!B:B)</f>
        <v>7.0685835749999999</v>
      </c>
      <c r="H50">
        <f t="shared" si="7"/>
        <v>0</v>
      </c>
      <c r="I50">
        <f t="shared" si="0"/>
        <v>7.0685835749999999</v>
      </c>
      <c r="J50">
        <f t="shared" si="1"/>
        <v>0</v>
      </c>
      <c r="K50">
        <f t="shared" si="18"/>
        <v>9.8960170049999991</v>
      </c>
      <c r="L50">
        <f t="shared" si="19"/>
        <v>-2.4926994974811079</v>
      </c>
      <c r="M50">
        <v>-135.70277078085792</v>
      </c>
      <c r="N50">
        <v>-21.197426744642524</v>
      </c>
      <c r="O50">
        <v>32.158563370703661</v>
      </c>
      <c r="P50">
        <f t="shared" si="14"/>
        <v>0</v>
      </c>
      <c r="Q50">
        <f t="shared" si="15"/>
        <v>129.6</v>
      </c>
      <c r="R50">
        <f t="shared" si="6"/>
        <v>0</v>
      </c>
    </row>
    <row r="51" spans="1:18" x14ac:dyDescent="0.55000000000000004">
      <c r="A51">
        <v>-20</v>
      </c>
      <c r="B51">
        <v>35</v>
      </c>
      <c r="C51">
        <f>3.1415927</f>
        <v>3.1415926999999999</v>
      </c>
      <c r="D51" t="s">
        <v>4</v>
      </c>
      <c r="E51">
        <v>0.32</v>
      </c>
      <c r="F51">
        <v>50</v>
      </c>
      <c r="G51">
        <f>SUMIF(abaqus!A:A,CONCATENATE("=",ABS(F51)),abaqus!B:B)</f>
        <v>7.0685835749999999</v>
      </c>
      <c r="H51">
        <f t="shared" si="7"/>
        <v>0</v>
      </c>
      <c r="I51">
        <f t="shared" si="0"/>
        <v>7.0685835749999999</v>
      </c>
      <c r="J51">
        <f t="shared" si="1"/>
        <v>0</v>
      </c>
      <c r="K51">
        <f t="shared" si="18"/>
        <v>9.8960170049999991</v>
      </c>
      <c r="L51">
        <f t="shared" si="19"/>
        <v>-2.4926994974811079</v>
      </c>
      <c r="M51">
        <v>134.29722921913768</v>
      </c>
      <c r="N51">
        <v>-22.841436712655451</v>
      </c>
      <c r="O51">
        <v>36.197426546835104</v>
      </c>
      <c r="P51">
        <f t="shared" si="14"/>
        <v>0</v>
      </c>
      <c r="Q51">
        <f t="shared" si="15"/>
        <v>129.6</v>
      </c>
      <c r="R51">
        <f t="shared" si="6"/>
        <v>0</v>
      </c>
    </row>
    <row r="52" spans="1:18" x14ac:dyDescent="0.55000000000000004">
      <c r="A52">
        <v>-20</v>
      </c>
      <c r="B52">
        <v>35</v>
      </c>
      <c r="C52">
        <f>3.1415927/2</f>
        <v>1.57079635</v>
      </c>
      <c r="D52" t="s">
        <v>4</v>
      </c>
      <c r="E52">
        <v>0.32</v>
      </c>
      <c r="F52">
        <v>50</v>
      </c>
      <c r="G52">
        <f>SUMIF(abaqus!A:A,CONCATENATE("=",ABS(F52)),abaqus!B:B)</f>
        <v>7.0685835749999999</v>
      </c>
      <c r="H52">
        <f t="shared" si="7"/>
        <v>0</v>
      </c>
      <c r="I52">
        <f t="shared" si="0"/>
        <v>7.0685835749999999</v>
      </c>
      <c r="J52">
        <f t="shared" si="1"/>
        <v>0</v>
      </c>
      <c r="K52">
        <f t="shared" si="18"/>
        <v>9.8960170049999991</v>
      </c>
      <c r="L52">
        <f t="shared" si="19"/>
        <v>-2.4926994974811079</v>
      </c>
      <c r="M52">
        <v>44.297229219144654</v>
      </c>
      <c r="N52">
        <v>-18.802573387229177</v>
      </c>
      <c r="O52">
        <v>37.84143668486908</v>
      </c>
      <c r="P52">
        <f t="shared" si="14"/>
        <v>0</v>
      </c>
      <c r="Q52">
        <f t="shared" si="15"/>
        <v>129.6</v>
      </c>
      <c r="R52">
        <f t="shared" si="6"/>
        <v>0</v>
      </c>
    </row>
    <row r="53" spans="1:18" x14ac:dyDescent="0.55000000000000004">
      <c r="A53">
        <v>-20</v>
      </c>
      <c r="B53">
        <v>35</v>
      </c>
      <c r="C53">
        <f>3.1415927/2</f>
        <v>1.57079635</v>
      </c>
      <c r="D53" t="s">
        <v>4</v>
      </c>
      <c r="E53">
        <v>0.32</v>
      </c>
      <c r="F53">
        <v>50</v>
      </c>
      <c r="G53">
        <f>SUMIF(abaqus!A:A,CONCATENATE("=",ABS(F53)),abaqus!B:B)</f>
        <v>7.0685835749999999</v>
      </c>
      <c r="H53">
        <f t="shared" si="7"/>
        <v>0</v>
      </c>
      <c r="I53">
        <f t="shared" si="0"/>
        <v>7.0685835749999999</v>
      </c>
      <c r="J53">
        <f t="shared" si="1"/>
        <v>0</v>
      </c>
      <c r="K53">
        <f t="shared" si="18"/>
        <v>9.8960170049999991</v>
      </c>
      <c r="L53">
        <f t="shared" si="19"/>
        <v>-2.4926994974811079</v>
      </c>
      <c r="M53">
        <v>44.297229219144654</v>
      </c>
      <c r="N53">
        <v>-18.802573387229177</v>
      </c>
      <c r="O53">
        <v>37.84143668486908</v>
      </c>
      <c r="P53">
        <f t="shared" si="14"/>
        <v>0</v>
      </c>
      <c r="Q53">
        <f t="shared" si="15"/>
        <v>129.6</v>
      </c>
      <c r="R53">
        <f t="shared" si="6"/>
        <v>0</v>
      </c>
    </row>
    <row r="54" spans="1:18" x14ac:dyDescent="0.55000000000000004">
      <c r="A54">
        <v>-20</v>
      </c>
      <c r="B54">
        <v>35</v>
      </c>
      <c r="C54">
        <f>-3.1415927/2</f>
        <v>-1.57079635</v>
      </c>
      <c r="D54" t="s">
        <v>4</v>
      </c>
      <c r="E54">
        <v>0.32</v>
      </c>
      <c r="F54">
        <v>50</v>
      </c>
      <c r="G54">
        <f>SUMIF(abaqus!A:A,CONCATENATE("=",ABS(F54)),abaqus!B:B)</f>
        <v>7.0685835749999999</v>
      </c>
      <c r="H54">
        <f t="shared" si="7"/>
        <v>0</v>
      </c>
      <c r="I54">
        <f t="shared" si="0"/>
        <v>7.0685835749999999</v>
      </c>
      <c r="J54">
        <f t="shared" si="1"/>
        <v>0</v>
      </c>
      <c r="K54">
        <f t="shared" si="18"/>
        <v>9.8960170049999991</v>
      </c>
      <c r="L54">
        <f t="shared" si="19"/>
        <v>-2.4926994974811079</v>
      </c>
      <c r="M54">
        <v>-135.70277078085792</v>
      </c>
      <c r="N54">
        <v>-21.197426744642524</v>
      </c>
      <c r="O54">
        <v>32.158563370703661</v>
      </c>
      <c r="P54">
        <f t="shared" si="14"/>
        <v>0</v>
      </c>
      <c r="Q54">
        <f t="shared" si="15"/>
        <v>129.6</v>
      </c>
      <c r="R54">
        <f t="shared" si="6"/>
        <v>0</v>
      </c>
    </row>
    <row r="55" spans="1:18" x14ac:dyDescent="0.55000000000000004">
      <c r="A55">
        <v>-20</v>
      </c>
      <c r="B55">
        <v>35</v>
      </c>
      <c r="C55">
        <f>3.1415927</f>
        <v>3.1415926999999999</v>
      </c>
      <c r="D55" t="s">
        <v>4</v>
      </c>
      <c r="E55">
        <v>0.32</v>
      </c>
      <c r="F55">
        <v>50</v>
      </c>
      <c r="G55">
        <f>SUMIF(abaqus!A:A,CONCATENATE("=",ABS(F55)),abaqus!B:B)</f>
        <v>7.0685835749999999</v>
      </c>
      <c r="H55">
        <f t="shared" si="7"/>
        <v>0</v>
      </c>
      <c r="I55">
        <f t="shared" si="0"/>
        <v>7.0685835749999999</v>
      </c>
      <c r="J55">
        <f t="shared" si="1"/>
        <v>0</v>
      </c>
      <c r="K55">
        <f t="shared" si="18"/>
        <v>9.8960170049999991</v>
      </c>
      <c r="L55">
        <f t="shared" si="19"/>
        <v>-2.4926994974811079</v>
      </c>
      <c r="M55">
        <v>134.29722921913768</v>
      </c>
      <c r="N55">
        <v>-22.841436712655451</v>
      </c>
      <c r="O55">
        <v>36.197426546835104</v>
      </c>
      <c r="P55">
        <f t="shared" si="14"/>
        <v>0</v>
      </c>
      <c r="Q55">
        <f t="shared" si="15"/>
        <v>129.6</v>
      </c>
      <c r="R55">
        <f t="shared" si="6"/>
        <v>0</v>
      </c>
    </row>
    <row r="56" spans="1:18" x14ac:dyDescent="0.55000000000000004">
      <c r="A56">
        <v>0</v>
      </c>
      <c r="B56">
        <v>0</v>
      </c>
      <c r="C56">
        <v>0</v>
      </c>
      <c r="D56" t="s">
        <v>18</v>
      </c>
      <c r="E56">
        <v>0.64</v>
      </c>
      <c r="F56">
        <v>20</v>
      </c>
      <c r="G56">
        <f>SUMIF(abaqus!A:A,CONCATENATE("=",ABS(F56)),abaqus!B:B)</f>
        <v>2.8274334300000001</v>
      </c>
      <c r="H56">
        <f t="shared" si="7"/>
        <v>0</v>
      </c>
      <c r="I56">
        <f t="shared" si="0"/>
        <v>0</v>
      </c>
      <c r="J56">
        <f t="shared" si="1"/>
        <v>2.8274334300000001</v>
      </c>
      <c r="K56">
        <f>(H56+I56)*0.5*5.6/2</f>
        <v>0</v>
      </c>
      <c r="L56">
        <f>(H56-I56)/3.97/2*5.6/2</f>
        <v>0</v>
      </c>
      <c r="M56">
        <v>0</v>
      </c>
      <c r="N56">
        <v>0</v>
      </c>
      <c r="O56">
        <v>0</v>
      </c>
      <c r="P56">
        <f>-H56*$E56/3.1415927*180</f>
        <v>0</v>
      </c>
      <c r="Q56">
        <f>I56*$E56/3.1415927*180</f>
        <v>0</v>
      </c>
      <c r="R56">
        <f t="shared" si="6"/>
        <v>103.68</v>
      </c>
    </row>
    <row r="57" spans="1:18" x14ac:dyDescent="0.55000000000000004">
      <c r="A57">
        <v>0</v>
      </c>
      <c r="B57">
        <v>0</v>
      </c>
      <c r="C57">
        <v>0</v>
      </c>
      <c r="D57" t="s">
        <v>18</v>
      </c>
      <c r="E57">
        <v>0.64</v>
      </c>
      <c r="F57">
        <v>-20</v>
      </c>
      <c r="G57">
        <f>SUMIF(abaqus!A:A,CONCATENATE("=",ABS(F57)),abaqus!B:B)</f>
        <v>2.8274334300000001</v>
      </c>
      <c r="H57">
        <f t="shared" si="7"/>
        <v>0</v>
      </c>
      <c r="I57">
        <f t="shared" si="0"/>
        <v>0</v>
      </c>
      <c r="J57">
        <f t="shared" si="1"/>
        <v>-2.8274334300000001</v>
      </c>
      <c r="K57">
        <f t="shared" ref="K57:K64" si="20">(H57+I57)*0.5*5.6/2</f>
        <v>0</v>
      </c>
      <c r="L57">
        <f t="shared" ref="L57:L64" si="21">(H57-I57)/3.97/2*5.6/2</f>
        <v>0</v>
      </c>
      <c r="M57">
        <v>0</v>
      </c>
      <c r="N57">
        <v>0</v>
      </c>
      <c r="O57">
        <v>0</v>
      </c>
      <c r="P57">
        <f t="shared" ref="P57:P82" si="22">-H57*$E57/3.1415927*180</f>
        <v>0</v>
      </c>
      <c r="Q57">
        <f t="shared" ref="Q57:Q82" si="23">I57*$E57/3.1415927*180</f>
        <v>0</v>
      </c>
      <c r="R57">
        <f t="shared" si="6"/>
        <v>-103.68</v>
      </c>
    </row>
    <row r="58" spans="1:18" x14ac:dyDescent="0.55000000000000004">
      <c r="A58">
        <v>0</v>
      </c>
      <c r="B58">
        <v>0</v>
      </c>
      <c r="C58">
        <v>0</v>
      </c>
      <c r="D58" t="s">
        <v>18</v>
      </c>
      <c r="E58">
        <v>0.64</v>
      </c>
      <c r="F58">
        <v>40</v>
      </c>
      <c r="G58">
        <f>SUMIF(abaqus!A:A,CONCATENATE("=",ABS(F58)),abaqus!B:B)</f>
        <v>5.6548668600000003</v>
      </c>
      <c r="H58">
        <f t="shared" si="7"/>
        <v>0</v>
      </c>
      <c r="I58">
        <f t="shared" si="0"/>
        <v>0</v>
      </c>
      <c r="J58">
        <f t="shared" si="1"/>
        <v>5.6548668600000003</v>
      </c>
      <c r="K58">
        <f t="shared" si="20"/>
        <v>0</v>
      </c>
      <c r="L58">
        <f t="shared" si="21"/>
        <v>0</v>
      </c>
      <c r="M58">
        <v>0</v>
      </c>
      <c r="N58">
        <v>0</v>
      </c>
      <c r="O58">
        <v>0</v>
      </c>
      <c r="P58">
        <f t="shared" si="22"/>
        <v>0</v>
      </c>
      <c r="Q58">
        <f t="shared" si="23"/>
        <v>0</v>
      </c>
      <c r="R58">
        <f t="shared" si="6"/>
        <v>207.36</v>
      </c>
    </row>
    <row r="59" spans="1:18" x14ac:dyDescent="0.55000000000000004">
      <c r="A59">
        <v>0</v>
      </c>
      <c r="B59">
        <v>0</v>
      </c>
      <c r="C59">
        <v>0</v>
      </c>
      <c r="D59" t="s">
        <v>18</v>
      </c>
      <c r="E59">
        <v>0.64</v>
      </c>
      <c r="F59">
        <v>-40</v>
      </c>
      <c r="G59">
        <f>SUMIF(abaqus!A:A,CONCATENATE("=",ABS(F59)),abaqus!B:B)</f>
        <v>5.6548668600000003</v>
      </c>
      <c r="H59">
        <f t="shared" si="7"/>
        <v>0</v>
      </c>
      <c r="I59">
        <f t="shared" si="0"/>
        <v>0</v>
      </c>
      <c r="J59">
        <f t="shared" si="1"/>
        <v>-5.6548668600000003</v>
      </c>
      <c r="K59">
        <f t="shared" si="20"/>
        <v>0</v>
      </c>
      <c r="L59">
        <f t="shared" si="21"/>
        <v>0</v>
      </c>
      <c r="M59">
        <v>0</v>
      </c>
      <c r="N59">
        <v>0</v>
      </c>
      <c r="O59">
        <v>0</v>
      </c>
      <c r="P59">
        <f t="shared" si="22"/>
        <v>0</v>
      </c>
      <c r="Q59">
        <f t="shared" si="23"/>
        <v>0</v>
      </c>
      <c r="R59">
        <f t="shared" si="6"/>
        <v>-207.36</v>
      </c>
    </row>
    <row r="60" spans="1:18" x14ac:dyDescent="0.55000000000000004">
      <c r="A60">
        <v>0</v>
      </c>
      <c r="B60">
        <v>0</v>
      </c>
      <c r="C60">
        <v>0</v>
      </c>
      <c r="D60" t="s">
        <v>18</v>
      </c>
      <c r="E60">
        <v>1.28</v>
      </c>
      <c r="F60">
        <v>-20</v>
      </c>
      <c r="G60">
        <f>SUMIF(abaqus!A:A,CONCATENATE("=",ABS(F60)),abaqus!B:B)</f>
        <v>2.8274334300000001</v>
      </c>
      <c r="H60">
        <f t="shared" si="7"/>
        <v>0</v>
      </c>
      <c r="I60">
        <f t="shared" si="0"/>
        <v>0</v>
      </c>
      <c r="J60">
        <f t="shared" si="1"/>
        <v>-2.8274334300000001</v>
      </c>
      <c r="K60">
        <f t="shared" si="20"/>
        <v>0</v>
      </c>
      <c r="L60">
        <f t="shared" si="21"/>
        <v>0</v>
      </c>
      <c r="M60">
        <v>0</v>
      </c>
      <c r="N60">
        <v>0</v>
      </c>
      <c r="O60">
        <v>0</v>
      </c>
      <c r="P60">
        <f t="shared" si="22"/>
        <v>0</v>
      </c>
      <c r="Q60">
        <f t="shared" si="23"/>
        <v>0</v>
      </c>
      <c r="R60">
        <f t="shared" si="6"/>
        <v>-207.36</v>
      </c>
    </row>
    <row r="61" spans="1:18" x14ac:dyDescent="0.55000000000000004">
      <c r="A61">
        <v>0</v>
      </c>
      <c r="B61">
        <v>0</v>
      </c>
      <c r="C61">
        <v>0</v>
      </c>
      <c r="D61" t="s">
        <v>18</v>
      </c>
      <c r="E61">
        <v>0.32</v>
      </c>
      <c r="F61">
        <v>50</v>
      </c>
      <c r="G61">
        <f>SUMIF(abaqus!A:A,CONCATENATE("=",ABS(F61)),abaqus!B:B)</f>
        <v>7.0685835749999999</v>
      </c>
      <c r="H61">
        <f t="shared" si="7"/>
        <v>0</v>
      </c>
      <c r="I61">
        <f t="shared" si="0"/>
        <v>0</v>
      </c>
      <c r="J61">
        <f t="shared" si="1"/>
        <v>7.0685835749999999</v>
      </c>
      <c r="K61">
        <f t="shared" si="20"/>
        <v>0</v>
      </c>
      <c r="L61">
        <f t="shared" si="21"/>
        <v>0</v>
      </c>
      <c r="M61">
        <v>0</v>
      </c>
      <c r="N61">
        <v>0</v>
      </c>
      <c r="O61">
        <v>0</v>
      </c>
      <c r="P61">
        <f t="shared" si="22"/>
        <v>0</v>
      </c>
      <c r="Q61">
        <f t="shared" si="23"/>
        <v>0</v>
      </c>
      <c r="R61">
        <f t="shared" si="6"/>
        <v>129.6</v>
      </c>
    </row>
    <row r="62" spans="1:18" x14ac:dyDescent="0.55000000000000004">
      <c r="A62">
        <v>0</v>
      </c>
      <c r="B62">
        <v>0</v>
      </c>
      <c r="C62">
        <v>0</v>
      </c>
      <c r="D62" t="s">
        <v>18</v>
      </c>
      <c r="E62">
        <v>0.32</v>
      </c>
      <c r="F62">
        <v>-50</v>
      </c>
      <c r="G62">
        <f>SUMIF(abaqus!A:A,CONCATENATE("=",ABS(F62)),abaqus!B:B)</f>
        <v>7.0685835749999999</v>
      </c>
      <c r="H62">
        <f t="shared" si="7"/>
        <v>0</v>
      </c>
      <c r="I62">
        <f t="shared" si="0"/>
        <v>0</v>
      </c>
      <c r="J62">
        <f t="shared" si="1"/>
        <v>-7.0685835749999999</v>
      </c>
      <c r="K62">
        <f t="shared" si="20"/>
        <v>0</v>
      </c>
      <c r="L62">
        <f t="shared" si="21"/>
        <v>0</v>
      </c>
      <c r="M62">
        <v>0</v>
      </c>
      <c r="N62">
        <v>0</v>
      </c>
      <c r="O62">
        <v>0</v>
      </c>
      <c r="P62">
        <f t="shared" si="22"/>
        <v>0</v>
      </c>
      <c r="Q62">
        <f t="shared" si="23"/>
        <v>0</v>
      </c>
      <c r="R62">
        <f t="shared" si="6"/>
        <v>-129.6</v>
      </c>
    </row>
    <row r="63" spans="1:18" x14ac:dyDescent="0.55000000000000004">
      <c r="A63">
        <v>0</v>
      </c>
      <c r="B63">
        <v>0</v>
      </c>
      <c r="C63">
        <v>0</v>
      </c>
      <c r="D63" t="s">
        <v>18</v>
      </c>
      <c r="E63">
        <v>0.64</v>
      </c>
      <c r="F63">
        <v>50</v>
      </c>
      <c r="G63">
        <f>SUMIF(abaqus!A:A,CONCATENATE("=",ABS(F63)),abaqus!B:B)</f>
        <v>7.0685835749999999</v>
      </c>
      <c r="H63">
        <f t="shared" si="7"/>
        <v>0</v>
      </c>
      <c r="I63">
        <f t="shared" si="0"/>
        <v>0</v>
      </c>
      <c r="J63">
        <f t="shared" si="1"/>
        <v>7.0685835749999999</v>
      </c>
      <c r="K63">
        <f t="shared" si="20"/>
        <v>0</v>
      </c>
      <c r="L63">
        <f t="shared" si="21"/>
        <v>0</v>
      </c>
      <c r="M63">
        <v>0</v>
      </c>
      <c r="N63">
        <v>0</v>
      </c>
      <c r="O63">
        <v>0</v>
      </c>
      <c r="P63">
        <f t="shared" si="22"/>
        <v>0</v>
      </c>
      <c r="Q63">
        <f t="shared" si="23"/>
        <v>0</v>
      </c>
      <c r="R63">
        <f t="shared" si="6"/>
        <v>259.2</v>
      </c>
    </row>
    <row r="64" spans="1:18" x14ac:dyDescent="0.55000000000000004">
      <c r="A64">
        <v>0</v>
      </c>
      <c r="B64">
        <v>0</v>
      </c>
      <c r="C64">
        <v>0</v>
      </c>
      <c r="D64" t="s">
        <v>18</v>
      </c>
      <c r="E64">
        <v>1.6</v>
      </c>
      <c r="F64">
        <v>-50</v>
      </c>
      <c r="G64">
        <f>SUMIF(abaqus!A:A,CONCATENATE("=",ABS(F64)),abaqus!B:B)</f>
        <v>7.0685835749999999</v>
      </c>
      <c r="H64">
        <f t="shared" si="7"/>
        <v>0</v>
      </c>
      <c r="I64">
        <f t="shared" si="0"/>
        <v>0</v>
      </c>
      <c r="J64">
        <f t="shared" si="1"/>
        <v>-7.0685835749999999</v>
      </c>
      <c r="K64">
        <f t="shared" si="20"/>
        <v>0</v>
      </c>
      <c r="L64">
        <f t="shared" si="21"/>
        <v>0</v>
      </c>
      <c r="M64">
        <v>0</v>
      </c>
      <c r="N64">
        <v>0</v>
      </c>
      <c r="O64">
        <v>0</v>
      </c>
      <c r="P64">
        <f t="shared" si="22"/>
        <v>0</v>
      </c>
      <c r="Q64">
        <f t="shared" si="23"/>
        <v>0</v>
      </c>
      <c r="R64">
        <f t="shared" si="6"/>
        <v>-648</v>
      </c>
    </row>
    <row r="65" spans="1:18" x14ac:dyDescent="0.55000000000000004">
      <c r="A65">
        <v>0</v>
      </c>
      <c r="B65">
        <v>0</v>
      </c>
      <c r="C65">
        <f>3.1415927/2</f>
        <v>1.57079635</v>
      </c>
      <c r="D65" t="s">
        <v>18</v>
      </c>
      <c r="E65">
        <v>0.64</v>
      </c>
      <c r="F65">
        <v>20</v>
      </c>
      <c r="G65">
        <f>SUMIF(abaqus!A:A,CONCATENATE("=",ABS(F65)),abaqus!B:B)</f>
        <v>2.8274334300000001</v>
      </c>
      <c r="H65">
        <f t="shared" si="7"/>
        <v>0</v>
      </c>
      <c r="I65">
        <f t="shared" si="0"/>
        <v>0</v>
      </c>
      <c r="J65">
        <f t="shared" si="1"/>
        <v>2.8274334300000001</v>
      </c>
      <c r="K65">
        <f>(H65+I65)*0.5*5.6/2</f>
        <v>0</v>
      </c>
      <c r="L65">
        <f>(H65-I65)/3.97/2*5.6/2</f>
        <v>0</v>
      </c>
      <c r="M65">
        <v>90</v>
      </c>
      <c r="N65">
        <v>0</v>
      </c>
      <c r="O65">
        <v>0</v>
      </c>
      <c r="P65">
        <f t="shared" si="22"/>
        <v>0</v>
      </c>
      <c r="Q65">
        <f t="shared" si="23"/>
        <v>0</v>
      </c>
      <c r="R65">
        <f t="shared" si="6"/>
        <v>103.68</v>
      </c>
    </row>
    <row r="66" spans="1:18" x14ac:dyDescent="0.55000000000000004">
      <c r="A66">
        <v>0</v>
      </c>
      <c r="B66">
        <v>0</v>
      </c>
      <c r="C66">
        <f>-3.1415927/2</f>
        <v>-1.57079635</v>
      </c>
      <c r="D66" t="s">
        <v>18</v>
      </c>
      <c r="E66">
        <v>0.64</v>
      </c>
      <c r="F66">
        <v>20</v>
      </c>
      <c r="G66">
        <f>SUMIF(abaqus!A:A,CONCATENATE("=",ABS(F66)),abaqus!B:B)</f>
        <v>2.8274334300000001</v>
      </c>
      <c r="H66">
        <f t="shared" si="7"/>
        <v>0</v>
      </c>
      <c r="I66">
        <f t="shared" si="0"/>
        <v>0</v>
      </c>
      <c r="J66">
        <f t="shared" si="1"/>
        <v>2.8274334300000001</v>
      </c>
      <c r="K66">
        <f>(H66+I66)*0.5*5.6/2</f>
        <v>0</v>
      </c>
      <c r="L66">
        <f>(H66-I66)/3.97/2*5.6/2</f>
        <v>0</v>
      </c>
      <c r="M66">
        <v>-90</v>
      </c>
      <c r="N66">
        <v>0</v>
      </c>
      <c r="O66">
        <v>0</v>
      </c>
      <c r="P66">
        <f t="shared" si="22"/>
        <v>0</v>
      </c>
      <c r="Q66">
        <f t="shared" si="23"/>
        <v>0</v>
      </c>
      <c r="R66">
        <f t="shared" si="6"/>
        <v>103.68</v>
      </c>
    </row>
    <row r="67" spans="1:18" x14ac:dyDescent="0.55000000000000004">
      <c r="A67">
        <v>0</v>
      </c>
      <c r="B67">
        <v>0</v>
      </c>
      <c r="C67">
        <f>3.1415927</f>
        <v>3.1415926999999999</v>
      </c>
      <c r="D67" t="s">
        <v>18</v>
      </c>
      <c r="E67">
        <v>0.64</v>
      </c>
      <c r="F67">
        <v>20</v>
      </c>
      <c r="G67">
        <f>SUMIF(abaqus!A:A,CONCATENATE("=",ABS(F67)),abaqus!B:B)</f>
        <v>2.8274334300000001</v>
      </c>
      <c r="H67">
        <f t="shared" si="7"/>
        <v>0</v>
      </c>
      <c r="I67">
        <f t="shared" ref="I67:I82" si="24">SIGN(F67) * IF(D67="F",G67,0)</f>
        <v>0</v>
      </c>
      <c r="J67">
        <f t="shared" ref="J67:J82" si="25">SIGN(F67) * IF(D67="D",G67,0)</f>
        <v>2.8274334300000001</v>
      </c>
      <c r="K67">
        <f>(H67+I67)*0.5*5.6/2</f>
        <v>0</v>
      </c>
      <c r="L67">
        <f>(H67-I67)/3.97/2*5.6/2</f>
        <v>0</v>
      </c>
      <c r="M67">
        <v>180</v>
      </c>
      <c r="N67">
        <v>0</v>
      </c>
      <c r="O67">
        <v>0</v>
      </c>
      <c r="P67">
        <f t="shared" si="22"/>
        <v>0</v>
      </c>
      <c r="Q67">
        <f t="shared" si="23"/>
        <v>0</v>
      </c>
      <c r="R67">
        <f t="shared" ref="R67:R82" si="26">J67*$E67/3.1415927*180</f>
        <v>103.68</v>
      </c>
    </row>
    <row r="68" spans="1:18" x14ac:dyDescent="0.55000000000000004">
      <c r="A68">
        <v>0</v>
      </c>
      <c r="B68">
        <v>0</v>
      </c>
      <c r="C68">
        <f>3.1415927/2</f>
        <v>1.57079635</v>
      </c>
      <c r="D68" t="s">
        <v>18</v>
      </c>
      <c r="E68">
        <v>0.32</v>
      </c>
      <c r="F68">
        <v>-50</v>
      </c>
      <c r="G68">
        <f>SUMIF(abaqus!A:A,CONCATENATE("=",ABS(F68)),abaqus!B:B)</f>
        <v>7.0685835749999999</v>
      </c>
      <c r="H68">
        <f t="shared" ref="H68:H82" si="27">SIGN(F68) * IF(D68="E",-G68,0)</f>
        <v>0</v>
      </c>
      <c r="I68">
        <f t="shared" si="24"/>
        <v>0</v>
      </c>
      <c r="J68">
        <f t="shared" si="25"/>
        <v>-7.0685835749999999</v>
      </c>
      <c r="K68">
        <f t="shared" ref="K68:K70" si="28">(H68+I68)*0.5*5.6/2</f>
        <v>0</v>
      </c>
      <c r="L68">
        <f t="shared" ref="L68:L70" si="29">(H68-I68)/3.97/2*5.6/2</f>
        <v>0</v>
      </c>
      <c r="M68">
        <v>90</v>
      </c>
      <c r="N68">
        <v>0</v>
      </c>
      <c r="O68">
        <v>0</v>
      </c>
      <c r="P68">
        <f t="shared" si="22"/>
        <v>0</v>
      </c>
      <c r="Q68">
        <f t="shared" si="23"/>
        <v>0</v>
      </c>
      <c r="R68">
        <f t="shared" si="26"/>
        <v>-129.6</v>
      </c>
    </row>
    <row r="69" spans="1:18" x14ac:dyDescent="0.55000000000000004">
      <c r="A69">
        <v>0</v>
      </c>
      <c r="B69">
        <v>0</v>
      </c>
      <c r="C69">
        <f>-3.1415927/2</f>
        <v>-1.57079635</v>
      </c>
      <c r="D69" t="s">
        <v>18</v>
      </c>
      <c r="E69">
        <v>0.32</v>
      </c>
      <c r="F69">
        <v>-50</v>
      </c>
      <c r="G69">
        <f>SUMIF(abaqus!A:A,CONCATENATE("=",ABS(F69)),abaqus!B:B)</f>
        <v>7.0685835749999999</v>
      </c>
      <c r="H69">
        <f t="shared" si="27"/>
        <v>0</v>
      </c>
      <c r="I69">
        <f t="shared" si="24"/>
        <v>0</v>
      </c>
      <c r="J69">
        <f t="shared" si="25"/>
        <v>-7.0685835749999999</v>
      </c>
      <c r="K69">
        <f t="shared" si="28"/>
        <v>0</v>
      </c>
      <c r="L69">
        <f t="shared" si="29"/>
        <v>0</v>
      </c>
      <c r="M69">
        <v>-90</v>
      </c>
      <c r="N69">
        <v>0</v>
      </c>
      <c r="O69">
        <v>0</v>
      </c>
      <c r="P69">
        <f t="shared" si="22"/>
        <v>0</v>
      </c>
      <c r="Q69">
        <f t="shared" si="23"/>
        <v>0</v>
      </c>
      <c r="R69">
        <f t="shared" si="26"/>
        <v>-129.6</v>
      </c>
    </row>
    <row r="70" spans="1:18" x14ac:dyDescent="0.55000000000000004">
      <c r="A70">
        <v>0</v>
      </c>
      <c r="B70">
        <v>0</v>
      </c>
      <c r="C70">
        <f>3.1415927</f>
        <v>3.1415926999999999</v>
      </c>
      <c r="D70" t="s">
        <v>18</v>
      </c>
      <c r="E70">
        <v>0.32</v>
      </c>
      <c r="F70">
        <v>-50</v>
      </c>
      <c r="G70">
        <f>SUMIF(abaqus!A:A,CONCATENATE("=",ABS(F70)),abaqus!B:B)</f>
        <v>7.0685835749999999</v>
      </c>
      <c r="H70">
        <f t="shared" si="27"/>
        <v>0</v>
      </c>
      <c r="I70">
        <f t="shared" si="24"/>
        <v>0</v>
      </c>
      <c r="J70">
        <f t="shared" si="25"/>
        <v>-7.0685835749999999</v>
      </c>
      <c r="K70">
        <f t="shared" si="28"/>
        <v>0</v>
      </c>
      <c r="L70">
        <f t="shared" si="29"/>
        <v>0</v>
      </c>
      <c r="M70">
        <v>180</v>
      </c>
      <c r="N70">
        <v>0</v>
      </c>
      <c r="O70">
        <v>0</v>
      </c>
      <c r="P70">
        <f t="shared" si="22"/>
        <v>0</v>
      </c>
      <c r="Q70">
        <f t="shared" si="23"/>
        <v>0</v>
      </c>
      <c r="R70">
        <f t="shared" si="26"/>
        <v>-129.6</v>
      </c>
    </row>
    <row r="71" spans="1:18" x14ac:dyDescent="0.55000000000000004">
      <c r="A71">
        <v>-20</v>
      </c>
      <c r="B71">
        <v>35</v>
      </c>
      <c r="C71">
        <v>0</v>
      </c>
      <c r="D71" t="s">
        <v>18</v>
      </c>
      <c r="E71">
        <v>0.64</v>
      </c>
      <c r="F71">
        <v>20</v>
      </c>
      <c r="G71">
        <f>SUMIF(abaqus!A:A,CONCATENATE("=",ABS(F71)),abaqus!B:B)</f>
        <v>2.8274334300000001</v>
      </c>
      <c r="H71">
        <f t="shared" si="27"/>
        <v>0</v>
      </c>
      <c r="I71">
        <f t="shared" si="24"/>
        <v>0</v>
      </c>
      <c r="J71">
        <f t="shared" si="25"/>
        <v>2.8274334300000001</v>
      </c>
      <c r="K71">
        <f>(H71+I71)*0.5*5.6/2</f>
        <v>0</v>
      </c>
      <c r="L71">
        <f>(H71-I71)/3.97/2*5.6/2</f>
        <v>0</v>
      </c>
      <c r="M71">
        <v>0</v>
      </c>
      <c r="N71">
        <v>-20</v>
      </c>
      <c r="O71">
        <v>35</v>
      </c>
      <c r="P71">
        <f t="shared" si="22"/>
        <v>0</v>
      </c>
      <c r="Q71">
        <f t="shared" si="23"/>
        <v>0</v>
      </c>
      <c r="R71">
        <f t="shared" si="26"/>
        <v>103.68</v>
      </c>
    </row>
    <row r="72" spans="1:18" x14ac:dyDescent="0.55000000000000004">
      <c r="A72">
        <v>-20</v>
      </c>
      <c r="B72">
        <v>35</v>
      </c>
      <c r="C72">
        <f>3.1415927/2</f>
        <v>1.57079635</v>
      </c>
      <c r="D72" t="s">
        <v>18</v>
      </c>
      <c r="E72">
        <v>0.64</v>
      </c>
      <c r="F72">
        <v>20</v>
      </c>
      <c r="G72">
        <f>SUMIF(abaqus!A:A,CONCATENATE("=",ABS(F72)),abaqus!B:B)</f>
        <v>2.8274334300000001</v>
      </c>
      <c r="H72">
        <f t="shared" si="27"/>
        <v>0</v>
      </c>
      <c r="I72">
        <f t="shared" si="24"/>
        <v>0</v>
      </c>
      <c r="J72">
        <f t="shared" si="25"/>
        <v>2.8274334300000001</v>
      </c>
      <c r="K72">
        <f>(H72+I72)*0.5*5.6/2</f>
        <v>0</v>
      </c>
      <c r="L72">
        <f>(H72-I72)/3.97/2*5.6/2</f>
        <v>0</v>
      </c>
      <c r="M72">
        <v>90</v>
      </c>
      <c r="N72">
        <v>-20</v>
      </c>
      <c r="O72">
        <v>35</v>
      </c>
      <c r="P72">
        <f t="shared" si="22"/>
        <v>0</v>
      </c>
      <c r="Q72">
        <f t="shared" si="23"/>
        <v>0</v>
      </c>
      <c r="R72">
        <f t="shared" si="26"/>
        <v>103.68</v>
      </c>
    </row>
    <row r="73" spans="1:18" x14ac:dyDescent="0.55000000000000004">
      <c r="A73">
        <v>-20</v>
      </c>
      <c r="B73">
        <v>35</v>
      </c>
      <c r="C73">
        <f>-3.1415927/2</f>
        <v>-1.57079635</v>
      </c>
      <c r="D73" t="s">
        <v>18</v>
      </c>
      <c r="E73">
        <v>0.64</v>
      </c>
      <c r="F73">
        <v>20</v>
      </c>
      <c r="G73">
        <f>SUMIF(abaqus!A:A,CONCATENATE("=",ABS(F73)),abaqus!B:B)</f>
        <v>2.8274334300000001</v>
      </c>
      <c r="H73">
        <f t="shared" si="27"/>
        <v>0</v>
      </c>
      <c r="I73">
        <f t="shared" si="24"/>
        <v>0</v>
      </c>
      <c r="J73">
        <f t="shared" si="25"/>
        <v>2.8274334300000001</v>
      </c>
      <c r="K73">
        <f>(H73+I73)*0.5*5.6/2</f>
        <v>0</v>
      </c>
      <c r="L73">
        <f>(H73-I73)/3.97/2*5.6/2</f>
        <v>0</v>
      </c>
      <c r="M73">
        <v>-90</v>
      </c>
      <c r="N73">
        <v>-20</v>
      </c>
      <c r="O73">
        <v>35</v>
      </c>
      <c r="P73">
        <f t="shared" si="22"/>
        <v>0</v>
      </c>
      <c r="Q73">
        <f t="shared" si="23"/>
        <v>0</v>
      </c>
      <c r="R73">
        <f t="shared" si="26"/>
        <v>103.68</v>
      </c>
    </row>
    <row r="74" spans="1:18" x14ac:dyDescent="0.55000000000000004">
      <c r="A74">
        <v>-20</v>
      </c>
      <c r="B74">
        <v>35</v>
      </c>
      <c r="C74">
        <f>3.1415927</f>
        <v>3.1415926999999999</v>
      </c>
      <c r="D74" t="s">
        <v>18</v>
      </c>
      <c r="E74">
        <v>0.64</v>
      </c>
      <c r="F74">
        <v>20</v>
      </c>
      <c r="G74">
        <f>SUMIF(abaqus!A:A,CONCATENATE("=",ABS(F74)),abaqus!B:B)</f>
        <v>2.8274334300000001</v>
      </c>
      <c r="H74">
        <f t="shared" si="27"/>
        <v>0</v>
      </c>
      <c r="I74">
        <f t="shared" si="24"/>
        <v>0</v>
      </c>
      <c r="J74">
        <f t="shared" si="25"/>
        <v>2.8274334300000001</v>
      </c>
      <c r="K74">
        <f>(H74+I74)*0.5*5.6/2</f>
        <v>0</v>
      </c>
      <c r="L74">
        <f>(H74-I74)/3.97/2*5.6/2</f>
        <v>0</v>
      </c>
      <c r="M74">
        <v>180</v>
      </c>
      <c r="N74">
        <v>-20</v>
      </c>
      <c r="O74">
        <v>35</v>
      </c>
      <c r="P74">
        <f t="shared" si="22"/>
        <v>0</v>
      </c>
      <c r="Q74">
        <f t="shared" si="23"/>
        <v>0</v>
      </c>
      <c r="R74">
        <f t="shared" si="26"/>
        <v>103.68</v>
      </c>
    </row>
    <row r="75" spans="1:18" x14ac:dyDescent="0.55000000000000004">
      <c r="A75">
        <v>-20</v>
      </c>
      <c r="B75">
        <v>35</v>
      </c>
      <c r="C75">
        <v>0</v>
      </c>
      <c r="D75" t="s">
        <v>18</v>
      </c>
      <c r="E75">
        <v>0.64</v>
      </c>
      <c r="F75">
        <v>50</v>
      </c>
      <c r="G75">
        <f>SUMIF(abaqus!A:A,CONCATENATE("=",ABS(F75)),abaqus!B:B)</f>
        <v>7.0685835749999999</v>
      </c>
      <c r="H75">
        <f t="shared" si="27"/>
        <v>0</v>
      </c>
      <c r="I75">
        <f t="shared" si="24"/>
        <v>0</v>
      </c>
      <c r="J75">
        <f t="shared" si="25"/>
        <v>7.0685835749999999</v>
      </c>
      <c r="K75">
        <f>(H75+I75)*0.5*5.6/2</f>
        <v>0</v>
      </c>
      <c r="L75">
        <f>(H75-I75)/3.97/2*5.6/2</f>
        <v>0</v>
      </c>
      <c r="M75">
        <v>0</v>
      </c>
      <c r="N75">
        <v>-20</v>
      </c>
      <c r="O75">
        <v>35</v>
      </c>
      <c r="P75">
        <f t="shared" si="22"/>
        <v>0</v>
      </c>
      <c r="Q75">
        <f t="shared" si="23"/>
        <v>0</v>
      </c>
      <c r="R75">
        <f t="shared" si="26"/>
        <v>259.2</v>
      </c>
    </row>
    <row r="76" spans="1:18" x14ac:dyDescent="0.55000000000000004">
      <c r="A76">
        <v>-20</v>
      </c>
      <c r="B76">
        <v>35</v>
      </c>
      <c r="C76">
        <f>3.1415927/2</f>
        <v>1.57079635</v>
      </c>
      <c r="D76" t="s">
        <v>18</v>
      </c>
      <c r="E76">
        <v>0.32</v>
      </c>
      <c r="F76">
        <v>50</v>
      </c>
      <c r="G76">
        <f>SUMIF(abaqus!A:A,CONCATENATE("=",ABS(F76)),abaqus!B:B)</f>
        <v>7.0685835749999999</v>
      </c>
      <c r="H76">
        <f t="shared" si="27"/>
        <v>0</v>
      </c>
      <c r="I76">
        <f t="shared" si="24"/>
        <v>0</v>
      </c>
      <c r="J76">
        <f t="shared" si="25"/>
        <v>7.0685835749999999</v>
      </c>
      <c r="K76">
        <f t="shared" ref="K76:K82" si="30">(H76+I76)*0.5*5.6/2</f>
        <v>0</v>
      </c>
      <c r="L76">
        <f t="shared" ref="L76:L82" si="31">(H76-I76)/3.97/2*5.6/2</f>
        <v>0</v>
      </c>
      <c r="M76">
        <v>90</v>
      </c>
      <c r="N76">
        <v>-20</v>
      </c>
      <c r="O76">
        <v>35</v>
      </c>
      <c r="P76">
        <f t="shared" si="22"/>
        <v>0</v>
      </c>
      <c r="Q76">
        <f t="shared" si="23"/>
        <v>0</v>
      </c>
      <c r="R76">
        <f t="shared" si="26"/>
        <v>129.6</v>
      </c>
    </row>
    <row r="77" spans="1:18" x14ac:dyDescent="0.55000000000000004">
      <c r="A77">
        <v>-20</v>
      </c>
      <c r="B77">
        <v>35</v>
      </c>
      <c r="C77">
        <f>-3.1415927/2</f>
        <v>-1.57079635</v>
      </c>
      <c r="D77" t="s">
        <v>18</v>
      </c>
      <c r="E77">
        <v>0.32</v>
      </c>
      <c r="F77">
        <v>50</v>
      </c>
      <c r="G77">
        <f>SUMIF(abaqus!A:A,CONCATENATE("=",ABS(F77)),abaqus!B:B)</f>
        <v>7.0685835749999999</v>
      </c>
      <c r="H77">
        <f t="shared" si="27"/>
        <v>0</v>
      </c>
      <c r="I77">
        <f t="shared" si="24"/>
        <v>0</v>
      </c>
      <c r="J77">
        <f t="shared" si="25"/>
        <v>7.0685835749999999</v>
      </c>
      <c r="K77">
        <f t="shared" si="30"/>
        <v>0</v>
      </c>
      <c r="L77">
        <f t="shared" si="31"/>
        <v>0</v>
      </c>
      <c r="M77">
        <v>-90</v>
      </c>
      <c r="N77">
        <v>-20</v>
      </c>
      <c r="O77">
        <v>35</v>
      </c>
      <c r="P77">
        <f t="shared" si="22"/>
        <v>0</v>
      </c>
      <c r="Q77">
        <f t="shared" si="23"/>
        <v>0</v>
      </c>
      <c r="R77">
        <f t="shared" si="26"/>
        <v>129.6</v>
      </c>
    </row>
    <row r="78" spans="1:18" x14ac:dyDescent="0.55000000000000004">
      <c r="A78">
        <v>-20</v>
      </c>
      <c r="B78">
        <v>35</v>
      </c>
      <c r="C78">
        <f>3.1415927</f>
        <v>3.1415926999999999</v>
      </c>
      <c r="D78" t="s">
        <v>18</v>
      </c>
      <c r="E78">
        <v>0.32</v>
      </c>
      <c r="F78">
        <v>50</v>
      </c>
      <c r="G78">
        <f>SUMIF(abaqus!A:A,CONCATENATE("=",ABS(F78)),abaqus!B:B)</f>
        <v>7.0685835749999999</v>
      </c>
      <c r="H78">
        <f t="shared" si="27"/>
        <v>0</v>
      </c>
      <c r="I78">
        <f t="shared" si="24"/>
        <v>0</v>
      </c>
      <c r="J78">
        <f t="shared" si="25"/>
        <v>7.0685835749999999</v>
      </c>
      <c r="K78">
        <f t="shared" si="30"/>
        <v>0</v>
      </c>
      <c r="L78">
        <f t="shared" si="31"/>
        <v>0</v>
      </c>
      <c r="M78">
        <v>180</v>
      </c>
      <c r="N78">
        <v>-20</v>
      </c>
      <c r="O78">
        <v>35</v>
      </c>
      <c r="P78">
        <f t="shared" si="22"/>
        <v>0</v>
      </c>
      <c r="Q78">
        <f t="shared" si="23"/>
        <v>0</v>
      </c>
      <c r="R78">
        <f t="shared" si="26"/>
        <v>129.6</v>
      </c>
    </row>
    <row r="79" spans="1:18" x14ac:dyDescent="0.55000000000000004">
      <c r="A79">
        <v>-20</v>
      </c>
      <c r="B79">
        <v>35</v>
      </c>
      <c r="C79">
        <f>3.1415927/2</f>
        <v>1.57079635</v>
      </c>
      <c r="D79" t="s">
        <v>18</v>
      </c>
      <c r="E79">
        <v>0.32</v>
      </c>
      <c r="F79">
        <v>50</v>
      </c>
      <c r="G79">
        <f>SUMIF(abaqus!A:A,CONCATENATE("=",ABS(F79)),abaqus!B:B)</f>
        <v>7.0685835749999999</v>
      </c>
      <c r="H79">
        <f t="shared" si="27"/>
        <v>0</v>
      </c>
      <c r="I79">
        <f t="shared" si="24"/>
        <v>0</v>
      </c>
      <c r="J79">
        <f t="shared" si="25"/>
        <v>7.0685835749999999</v>
      </c>
      <c r="K79">
        <f t="shared" si="30"/>
        <v>0</v>
      </c>
      <c r="L79">
        <f t="shared" si="31"/>
        <v>0</v>
      </c>
      <c r="M79">
        <v>90</v>
      </c>
      <c r="N79">
        <v>-20</v>
      </c>
      <c r="O79">
        <v>35</v>
      </c>
      <c r="P79">
        <f t="shared" si="22"/>
        <v>0</v>
      </c>
      <c r="Q79">
        <f t="shared" si="23"/>
        <v>0</v>
      </c>
      <c r="R79">
        <f t="shared" si="26"/>
        <v>129.6</v>
      </c>
    </row>
    <row r="80" spans="1:18" x14ac:dyDescent="0.55000000000000004">
      <c r="A80">
        <v>-20</v>
      </c>
      <c r="B80">
        <v>35</v>
      </c>
      <c r="C80">
        <f>3.1415927/2</f>
        <v>1.57079635</v>
      </c>
      <c r="D80" t="s">
        <v>18</v>
      </c>
      <c r="E80">
        <v>0.32</v>
      </c>
      <c r="F80">
        <v>50</v>
      </c>
      <c r="G80">
        <f>SUMIF(abaqus!A:A,CONCATENATE("=",ABS(F80)),abaqus!B:B)</f>
        <v>7.0685835749999999</v>
      </c>
      <c r="H80">
        <f t="shared" si="27"/>
        <v>0</v>
      </c>
      <c r="I80">
        <f t="shared" si="24"/>
        <v>0</v>
      </c>
      <c r="J80">
        <f t="shared" si="25"/>
        <v>7.0685835749999999</v>
      </c>
      <c r="K80">
        <f t="shared" si="30"/>
        <v>0</v>
      </c>
      <c r="L80">
        <f t="shared" si="31"/>
        <v>0</v>
      </c>
      <c r="M80">
        <v>90</v>
      </c>
      <c r="N80">
        <v>-20</v>
      </c>
      <c r="O80">
        <v>35</v>
      </c>
      <c r="P80">
        <f t="shared" si="22"/>
        <v>0</v>
      </c>
      <c r="Q80">
        <f t="shared" si="23"/>
        <v>0</v>
      </c>
      <c r="R80">
        <f t="shared" si="26"/>
        <v>129.6</v>
      </c>
    </row>
    <row r="81" spans="1:18" x14ac:dyDescent="0.55000000000000004">
      <c r="A81">
        <v>-20</v>
      </c>
      <c r="B81">
        <v>35</v>
      </c>
      <c r="C81">
        <f>-3.1415927/2</f>
        <v>-1.57079635</v>
      </c>
      <c r="D81" t="s">
        <v>18</v>
      </c>
      <c r="E81">
        <v>0.32</v>
      </c>
      <c r="F81">
        <v>50</v>
      </c>
      <c r="G81">
        <f>SUMIF(abaqus!A:A,CONCATENATE("=",ABS(F81)),abaqus!B:B)</f>
        <v>7.0685835749999999</v>
      </c>
      <c r="H81">
        <f t="shared" si="27"/>
        <v>0</v>
      </c>
      <c r="I81">
        <f t="shared" si="24"/>
        <v>0</v>
      </c>
      <c r="J81">
        <f t="shared" si="25"/>
        <v>7.0685835749999999</v>
      </c>
      <c r="K81">
        <f t="shared" si="30"/>
        <v>0</v>
      </c>
      <c r="L81">
        <f t="shared" si="31"/>
        <v>0</v>
      </c>
      <c r="M81">
        <v>-90</v>
      </c>
      <c r="N81">
        <v>-20</v>
      </c>
      <c r="O81">
        <v>35</v>
      </c>
      <c r="P81">
        <f t="shared" si="22"/>
        <v>0</v>
      </c>
      <c r="Q81">
        <f t="shared" si="23"/>
        <v>0</v>
      </c>
      <c r="R81">
        <f t="shared" si="26"/>
        <v>129.6</v>
      </c>
    </row>
    <row r="82" spans="1:18" x14ac:dyDescent="0.55000000000000004">
      <c r="A82">
        <v>-20</v>
      </c>
      <c r="B82">
        <v>35</v>
      </c>
      <c r="C82">
        <f>3.1415927</f>
        <v>3.1415926999999999</v>
      </c>
      <c r="D82" t="s">
        <v>18</v>
      </c>
      <c r="E82">
        <v>0.32</v>
      </c>
      <c r="F82">
        <v>50</v>
      </c>
      <c r="G82">
        <f>SUMIF(abaqus!A:A,CONCATENATE("=",ABS(F82)),abaqus!B:B)</f>
        <v>7.0685835749999999</v>
      </c>
      <c r="H82">
        <f t="shared" si="27"/>
        <v>0</v>
      </c>
      <c r="I82">
        <f t="shared" si="24"/>
        <v>0</v>
      </c>
      <c r="J82">
        <f t="shared" si="25"/>
        <v>7.0685835749999999</v>
      </c>
      <c r="K82">
        <f t="shared" si="30"/>
        <v>0</v>
      </c>
      <c r="L82">
        <f t="shared" si="31"/>
        <v>0</v>
      </c>
      <c r="M82">
        <v>180</v>
      </c>
      <c r="N82">
        <v>-20</v>
      </c>
      <c r="O82">
        <v>35</v>
      </c>
      <c r="P82">
        <f t="shared" si="22"/>
        <v>0</v>
      </c>
      <c r="Q82">
        <f t="shared" si="23"/>
        <v>0</v>
      </c>
      <c r="R82">
        <f t="shared" si="26"/>
        <v>129.6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D46A8-5299-4AED-A501-7BDC3760E652}">
  <sheetPr codeName="Sheet11"/>
  <dimension ref="A1:AB27"/>
  <sheetViews>
    <sheetView tabSelected="1" topLeftCell="M1" zoomScale="68" zoomScaleNormal="68" workbookViewId="0">
      <selection activeCell="Y25" sqref="Y25"/>
    </sheetView>
  </sheetViews>
  <sheetFormatPr defaultRowHeight="14.4" x14ac:dyDescent="0.55000000000000004"/>
  <cols>
    <col min="6" max="6" width="11.578125" bestFit="1" customWidth="1"/>
    <col min="12" max="15" width="10.734375" customWidth="1"/>
    <col min="18" max="18" width="10.7890625" customWidth="1"/>
  </cols>
  <sheetData>
    <row r="1" spans="1:28" x14ac:dyDescent="0.55000000000000004">
      <c r="A1" t="s">
        <v>1</v>
      </c>
      <c r="B1" t="s">
        <v>2</v>
      </c>
      <c r="C1" t="s">
        <v>3</v>
      </c>
      <c r="D1" t="s">
        <v>5</v>
      </c>
      <c r="E1" t="s">
        <v>6</v>
      </c>
      <c r="F1" t="s">
        <v>12</v>
      </c>
      <c r="G1" t="s">
        <v>7</v>
      </c>
      <c r="H1" t="s">
        <v>11</v>
      </c>
      <c r="I1" t="s">
        <v>16</v>
      </c>
      <c r="J1" t="s">
        <v>17</v>
      </c>
      <c r="K1" t="s">
        <v>29</v>
      </c>
      <c r="L1" t="s">
        <v>30</v>
      </c>
      <c r="M1" t="s">
        <v>14</v>
      </c>
      <c r="N1" t="s">
        <v>15</v>
      </c>
      <c r="O1" t="s">
        <v>10</v>
      </c>
      <c r="P1" t="s">
        <v>8</v>
      </c>
      <c r="Q1" t="s">
        <v>9</v>
      </c>
      <c r="R1" t="s">
        <v>25</v>
      </c>
      <c r="S1" t="s">
        <v>26</v>
      </c>
      <c r="T1" t="s">
        <v>43</v>
      </c>
      <c r="U1" t="s">
        <v>42</v>
      </c>
      <c r="V1" t="s">
        <v>38</v>
      </c>
      <c r="W1" t="s">
        <v>39</v>
      </c>
      <c r="X1" t="s">
        <v>40</v>
      </c>
      <c r="Y1" t="s">
        <v>41</v>
      </c>
    </row>
    <row r="2" spans="1:28" x14ac:dyDescent="0.55000000000000004">
      <c r="A2">
        <v>60</v>
      </c>
      <c r="B2">
        <v>60</v>
      </c>
      <c r="C2">
        <v>0</v>
      </c>
      <c r="D2" t="s">
        <v>0</v>
      </c>
      <c r="E2" t="s">
        <v>4</v>
      </c>
      <c r="F2">
        <v>0.64</v>
      </c>
      <c r="G2">
        <v>0</v>
      </c>
      <c r="H2">
        <v>0</v>
      </c>
      <c r="I2">
        <f>SIGN(AA2)*SUMIF(abaqus!A:A,CONCATENATE("=",ABS(AA2)),abaqus!B:B)</f>
        <v>0</v>
      </c>
      <c r="J2">
        <f>SIGN(AB2)*SUMIF(abaqus!A:A,CONCATENATE("=",ABS(AB2)),abaqus!B:B)</f>
        <v>0</v>
      </c>
      <c r="K2">
        <f>IF(D2="E",I2,0)+IF(E2="E",-J2,0)</f>
        <v>0</v>
      </c>
      <c r="L2">
        <f>IF(D2="F",-I2,0)+IF(E2="F",J2,0)</f>
        <v>0</v>
      </c>
      <c r="M2">
        <f>(K2+L2)*0.5*5.6/2</f>
        <v>0</v>
      </c>
      <c r="N2">
        <f>(K2-L2)/3.97/2*5.6/2</f>
        <v>0</v>
      </c>
      <c r="O2">
        <v>0</v>
      </c>
      <c r="P2">
        <v>60</v>
      </c>
      <c r="Q2">
        <v>60</v>
      </c>
      <c r="R2">
        <f>-K2*$F2/3.1415927*180</f>
        <v>0</v>
      </c>
      <c r="S2">
        <f>L2*$F2/3.1415927*180</f>
        <v>0</v>
      </c>
      <c r="T2">
        <f>P2/0.112</f>
        <v>535.71428571428567</v>
      </c>
      <c r="U2">
        <f>(1005-Q2/0.112)</f>
        <v>469.28571428571433</v>
      </c>
      <c r="V2" t="s">
        <v>40</v>
      </c>
      <c r="W2">
        <v>464</v>
      </c>
      <c r="X2">
        <v>701</v>
      </c>
      <c r="Y2" s="1">
        <v>481</v>
      </c>
      <c r="AA2">
        <f>IF(G2=100,H2,IF(G2=-100,-H2,IF(G2&lt;0,H2*(100+G2)/100,H2)))</f>
        <v>0</v>
      </c>
      <c r="AB2">
        <f>IF(G2=100,-H2,IF(G2=-100,H2,IF(G2&gt;0,H2*(100-G2)/100,H2)))</f>
        <v>0</v>
      </c>
    </row>
    <row r="3" spans="1:28" x14ac:dyDescent="0.55000000000000004">
      <c r="A3">
        <v>60</v>
      </c>
      <c r="B3">
        <v>60</v>
      </c>
      <c r="C3">
        <v>0</v>
      </c>
      <c r="D3" t="s">
        <v>0</v>
      </c>
      <c r="E3" t="s">
        <v>4</v>
      </c>
      <c r="F3">
        <v>0.64</v>
      </c>
      <c r="G3">
        <v>0</v>
      </c>
      <c r="H3">
        <v>20</v>
      </c>
      <c r="I3">
        <f>SIGN(AA3)*SUMIF(abaqus!A:A,CONCATENATE("=",ABS(AA3)),abaqus!B:B)</f>
        <v>2.8274334300000001</v>
      </c>
      <c r="J3">
        <f>SIGN(AB3)*SUMIF(abaqus!A:A,CONCATENATE("=",ABS(AB3)),abaqus!B:B)</f>
        <v>2.8274334300000001</v>
      </c>
      <c r="K3">
        <f>IF(D3="E",I3,0)+IF(E3="E",-J3,0)</f>
        <v>2.8274334300000001</v>
      </c>
      <c r="L3">
        <f>IF(D3="F",-I3,0)+IF(E3="F",J3,0)</f>
        <v>2.8274334300000001</v>
      </c>
      <c r="M3">
        <f>(K3+L3)*0.5*5.6/2</f>
        <v>7.9168136039999997</v>
      </c>
      <c r="N3">
        <f>(K3-L3)/3.97/2*5.6/2</f>
        <v>0</v>
      </c>
      <c r="O3">
        <v>0</v>
      </c>
      <c r="P3">
        <v>65.066760706558966</v>
      </c>
      <c r="Q3">
        <v>60</v>
      </c>
      <c r="R3">
        <f>-K3*$F3/3.1415927*180</f>
        <v>-103.68</v>
      </c>
      <c r="S3">
        <f>L3*$F3/3.1415927*180</f>
        <v>103.68</v>
      </c>
      <c r="T3">
        <f t="shared" ref="T3:T28" si="0">P3/0.112</f>
        <v>580.95322059427644</v>
      </c>
      <c r="U3">
        <f>(1005-Q3/0.112)</f>
        <v>469.28571428571433</v>
      </c>
      <c r="V3" t="s">
        <v>40</v>
      </c>
      <c r="W3">
        <v>509</v>
      </c>
      <c r="X3">
        <v>726</v>
      </c>
      <c r="Y3">
        <v>512</v>
      </c>
      <c r="AA3">
        <f>IF(G3=100,H3,IF(G3=-100,-H3,IF(G3&lt;0,H3*(100+G3)/100,H3)))</f>
        <v>20</v>
      </c>
      <c r="AB3">
        <f>IF(G3=100,-H3,IF(G3=-100,H3,IF(G3&gt;0,H3*(100-G3)/100,H3)))</f>
        <v>20</v>
      </c>
    </row>
    <row r="4" spans="1:28" x14ac:dyDescent="0.55000000000000004">
      <c r="A4">
        <v>60</v>
      </c>
      <c r="B4">
        <v>60</v>
      </c>
      <c r="C4">
        <v>0</v>
      </c>
      <c r="D4" t="s">
        <v>0</v>
      </c>
      <c r="E4" t="s">
        <v>4</v>
      </c>
      <c r="F4">
        <v>0.64</v>
      </c>
      <c r="G4">
        <v>0</v>
      </c>
      <c r="H4">
        <v>-20</v>
      </c>
      <c r="I4">
        <f>SIGN(AA4)*SUMIF(abaqus!A:A,CONCATENATE("=",ABS(AA4)),abaqus!B:B)</f>
        <v>-2.8274334300000001</v>
      </c>
      <c r="J4">
        <f>SIGN(AB4)*SUMIF(abaqus!A:A,CONCATENATE("=",ABS(AB4)),abaqus!B:B)</f>
        <v>-2.8274334300000001</v>
      </c>
      <c r="K4">
        <f>IF(D4="E",I4,0)+IF(E4="E",-J4,0)</f>
        <v>-2.8274334300000001</v>
      </c>
      <c r="L4">
        <f>IF(D4="F",-I4,0)+IF(E4="F",J4,0)</f>
        <v>-2.8274334300000001</v>
      </c>
      <c r="M4">
        <f t="shared" ref="M4:M15" si="1">(K4+L4)*0.5*5.6/2</f>
        <v>-7.9168136039999997</v>
      </c>
      <c r="N4">
        <f t="shared" ref="N4:N15" si="2">(K4-L4)/3.97/2*5.6/2</f>
        <v>0</v>
      </c>
      <c r="O4">
        <v>0</v>
      </c>
      <c r="P4">
        <v>54.933239293441027</v>
      </c>
      <c r="Q4">
        <v>60</v>
      </c>
      <c r="R4">
        <f t="shared" ref="R4:R28" si="3">-K4*$F4/3.1415927*180</f>
        <v>103.68</v>
      </c>
      <c r="S4">
        <f t="shared" ref="S4:S28" si="4">L4*$F4/3.1415927*180</f>
        <v>-103.68</v>
      </c>
      <c r="T4">
        <f t="shared" si="0"/>
        <v>490.47535083429489</v>
      </c>
      <c r="U4">
        <f>(1005-Q4/0.112)</f>
        <v>469.28571428571433</v>
      </c>
      <c r="V4" t="s">
        <v>44</v>
      </c>
      <c r="W4">
        <v>758</v>
      </c>
      <c r="X4">
        <v>833</v>
      </c>
      <c r="Y4">
        <v>495</v>
      </c>
      <c r="AA4">
        <f>IF(G4=100,H4,IF(G4=-100,-H4,IF(G4&lt;0,H4*(100+G4)/100,H4)))</f>
        <v>-20</v>
      </c>
      <c r="AB4">
        <f>IF(G4=100,-H4,IF(G4=-100,H4,IF(G4&gt;0,H4*(100-G4)/100,H4)))</f>
        <v>-20</v>
      </c>
    </row>
    <row r="5" spans="1:28" x14ac:dyDescent="0.55000000000000004">
      <c r="A5">
        <v>60</v>
      </c>
      <c r="B5">
        <v>60</v>
      </c>
      <c r="C5">
        <v>0</v>
      </c>
      <c r="D5" t="s">
        <v>0</v>
      </c>
      <c r="E5" t="s">
        <v>4</v>
      </c>
      <c r="F5">
        <v>0.64</v>
      </c>
      <c r="G5">
        <v>0</v>
      </c>
      <c r="H5">
        <v>40</v>
      </c>
      <c r="I5">
        <f>SIGN(AA5)*SUMIF(abaqus!A:A,CONCATENATE("=",ABS(AA5)),abaqus!B:B)</f>
        <v>5.6548668600000003</v>
      </c>
      <c r="J5">
        <f>SIGN(AB5)*SUMIF(abaqus!A:A,CONCATENATE("=",ABS(AB5)),abaqus!B:B)</f>
        <v>5.6548668600000003</v>
      </c>
      <c r="K5">
        <f>IF(D5="E",I5,0)+IF(E5="E",-J5,0)</f>
        <v>5.6548668600000003</v>
      </c>
      <c r="L5">
        <f>IF(D5="F",-I5,0)+IF(E5="F",J5,0)</f>
        <v>5.6548668600000003</v>
      </c>
      <c r="M5">
        <f t="shared" si="1"/>
        <v>15.833627207999999</v>
      </c>
      <c r="N5">
        <f t="shared" si="2"/>
        <v>0</v>
      </c>
      <c r="O5">
        <v>0</v>
      </c>
      <c r="P5">
        <v>70.133521413117947</v>
      </c>
      <c r="Q5">
        <v>60</v>
      </c>
      <c r="R5">
        <f t="shared" si="3"/>
        <v>-207.36</v>
      </c>
      <c r="S5">
        <f t="shared" si="4"/>
        <v>207.36</v>
      </c>
      <c r="T5">
        <f t="shared" si="0"/>
        <v>626.19215547426734</v>
      </c>
      <c r="U5">
        <f>(1005-Q5/0.112)</f>
        <v>469.28571428571433</v>
      </c>
      <c r="V5" t="s">
        <v>40</v>
      </c>
      <c r="W5">
        <v>467</v>
      </c>
      <c r="X5">
        <v>704</v>
      </c>
      <c r="Y5">
        <v>483</v>
      </c>
      <c r="AA5">
        <f>IF(G5=100,H5,IF(G5=-100,-H5,IF(G5&lt;0,H5*(100+G5)/100,H5)))</f>
        <v>40</v>
      </c>
      <c r="AB5">
        <f>IF(G5=100,-H5,IF(G5=-100,H5,IF(G5&gt;0,H5*(100-G5)/100,H5)))</f>
        <v>40</v>
      </c>
    </row>
    <row r="6" spans="1:28" x14ac:dyDescent="0.55000000000000004">
      <c r="A6">
        <v>60</v>
      </c>
      <c r="B6">
        <v>60</v>
      </c>
      <c r="C6">
        <v>0</v>
      </c>
      <c r="D6" t="s">
        <v>0</v>
      </c>
      <c r="E6" t="s">
        <v>4</v>
      </c>
      <c r="F6">
        <v>0.64</v>
      </c>
      <c r="G6">
        <v>0</v>
      </c>
      <c r="H6">
        <v>-40</v>
      </c>
      <c r="I6">
        <f>SIGN(AA6)*SUMIF(abaqus!A:A,CONCATENATE("=",ABS(AA6)),abaqus!B:B)</f>
        <v>-5.6548668600000003</v>
      </c>
      <c r="J6">
        <f>SIGN(AB6)*SUMIF(abaqus!A:A,CONCATENATE("=",ABS(AB6)),abaqus!B:B)</f>
        <v>-5.6548668600000003</v>
      </c>
      <c r="K6">
        <f>IF(D6="E",I6,0)+IF(E6="E",-J6,0)</f>
        <v>-5.6548668600000003</v>
      </c>
      <c r="L6">
        <f>IF(D6="F",-I6,0)+IF(E6="F",J6,0)</f>
        <v>-5.6548668600000003</v>
      </c>
      <c r="M6">
        <f t="shared" si="1"/>
        <v>-15.833627207999999</v>
      </c>
      <c r="N6">
        <f t="shared" si="2"/>
        <v>0</v>
      </c>
      <c r="O6">
        <v>0</v>
      </c>
      <c r="P6">
        <v>49.866478586882053</v>
      </c>
      <c r="Q6">
        <v>60</v>
      </c>
      <c r="R6">
        <f t="shared" si="3"/>
        <v>207.36</v>
      </c>
      <c r="S6">
        <f t="shared" si="4"/>
        <v>-207.36</v>
      </c>
      <c r="T6">
        <f t="shared" si="0"/>
        <v>445.23641595430405</v>
      </c>
      <c r="U6">
        <f>(1005-Q6/0.112)</f>
        <v>469.28571428571433</v>
      </c>
      <c r="V6" t="s">
        <v>46</v>
      </c>
      <c r="W6">
        <v>831</v>
      </c>
      <c r="X6">
        <v>833</v>
      </c>
      <c r="Y6">
        <v>855</v>
      </c>
      <c r="AA6">
        <f>IF(G6=100,H6,IF(G6=-100,-H6,IF(G6&lt;0,H6*(100+G6)/100,H6)))</f>
        <v>-40</v>
      </c>
      <c r="AB6">
        <f>IF(G6=100,-H6,IF(G6=-100,H6,IF(G6&gt;0,H6*(100-G6)/100,H6)))</f>
        <v>-40</v>
      </c>
    </row>
    <row r="7" spans="1:28" x14ac:dyDescent="0.55000000000000004">
      <c r="A7">
        <v>60</v>
      </c>
      <c r="B7">
        <v>60</v>
      </c>
      <c r="C7">
        <v>0</v>
      </c>
      <c r="D7" t="s">
        <v>0</v>
      </c>
      <c r="E7" t="s">
        <v>4</v>
      </c>
      <c r="F7">
        <v>1.28</v>
      </c>
      <c r="G7">
        <v>0</v>
      </c>
      <c r="H7">
        <v>-20</v>
      </c>
      <c r="I7">
        <f>SIGN(AA7)*SUMIF(abaqus!A:A,CONCATENATE("=",ABS(AA7)),abaqus!B:B)</f>
        <v>-2.8274334300000001</v>
      </c>
      <c r="J7">
        <f>SIGN(AB7)*SUMIF(abaqus!A:A,CONCATENATE("=",ABS(AB7)),abaqus!B:B)</f>
        <v>-2.8274334300000001</v>
      </c>
      <c r="K7">
        <f>IF(D7="E",I7,0)+IF(E7="E",-J7,0)</f>
        <v>-2.8274334300000001</v>
      </c>
      <c r="L7">
        <f>IF(D7="F",-I7,0)+IF(E7="F",J7,0)</f>
        <v>-2.8274334300000001</v>
      </c>
      <c r="M7">
        <f t="shared" si="1"/>
        <v>-7.9168136039999997</v>
      </c>
      <c r="N7">
        <f t="shared" si="2"/>
        <v>0</v>
      </c>
      <c r="O7">
        <v>0</v>
      </c>
      <c r="P7">
        <v>49.86647858688162</v>
      </c>
      <c r="Q7">
        <v>60</v>
      </c>
      <c r="R7">
        <f t="shared" si="3"/>
        <v>207.36</v>
      </c>
      <c r="S7">
        <f t="shared" si="4"/>
        <v>-207.36</v>
      </c>
      <c r="T7">
        <f t="shared" si="0"/>
        <v>445.23641595430018</v>
      </c>
      <c r="U7">
        <f>(1005-Q7/0.112)</f>
        <v>469.28571428571433</v>
      </c>
      <c r="V7" t="s">
        <v>45</v>
      </c>
      <c r="W7">
        <v>715</v>
      </c>
      <c r="X7">
        <v>711</v>
      </c>
      <c r="Y7">
        <v>733</v>
      </c>
      <c r="AA7">
        <f>IF(G7=100,H7,IF(G7=-100,-H7,IF(G7&lt;0,H7*(100+G7)/100,H7)))</f>
        <v>-20</v>
      </c>
      <c r="AB7">
        <f>IF(G7=100,-H7,IF(G7=-100,H7,IF(G7&gt;0,H7*(100-G7)/100,H7)))</f>
        <v>-20</v>
      </c>
    </row>
    <row r="8" spans="1:28" x14ac:dyDescent="0.55000000000000004">
      <c r="A8">
        <v>60</v>
      </c>
      <c r="B8">
        <v>60</v>
      </c>
      <c r="C8">
        <v>0</v>
      </c>
      <c r="D8" t="s">
        <v>0</v>
      </c>
      <c r="E8" t="s">
        <v>4</v>
      </c>
      <c r="F8">
        <v>0.32</v>
      </c>
      <c r="G8">
        <v>100</v>
      </c>
      <c r="H8">
        <v>50</v>
      </c>
      <c r="I8">
        <f>SIGN(AA8)*SUMIF(abaqus!A:A,CONCATENATE("=",ABS(AA8)),abaqus!B:B)</f>
        <v>7.0685835749999999</v>
      </c>
      <c r="J8">
        <f>SIGN(AB8)*SUMIF(abaqus!A:A,CONCATENATE("=",ABS(AB8)),abaqus!B:B)</f>
        <v>-7.0685835749999999</v>
      </c>
      <c r="K8">
        <f>IF(D8="E",I8,0)+IF(E8="E",-J8,0)</f>
        <v>7.0685835749999999</v>
      </c>
      <c r="L8">
        <f>IF(D8="F",-I8,0)+IF(E8="F",J8,0)</f>
        <v>-7.0685835749999999</v>
      </c>
      <c r="M8">
        <f t="shared" si="1"/>
        <v>0</v>
      </c>
      <c r="N8">
        <f t="shared" si="2"/>
        <v>4.9853989949622157</v>
      </c>
      <c r="O8">
        <v>91.405541561713989</v>
      </c>
      <c r="P8">
        <v>60</v>
      </c>
      <c r="Q8">
        <v>60</v>
      </c>
      <c r="R8">
        <f t="shared" si="3"/>
        <v>-129.6</v>
      </c>
      <c r="S8">
        <f t="shared" si="4"/>
        <v>-129.6</v>
      </c>
      <c r="T8">
        <f t="shared" si="0"/>
        <v>535.71428571428567</v>
      </c>
      <c r="U8">
        <f>(1005-Q8/0.112)</f>
        <v>469.28571428571433</v>
      </c>
      <c r="V8" t="s">
        <v>41</v>
      </c>
      <c r="W8">
        <v>598</v>
      </c>
      <c r="X8">
        <v>762</v>
      </c>
      <c r="Y8">
        <v>895</v>
      </c>
      <c r="AA8">
        <f>IF(G8=100,H8,IF(G8=-100,-H8,IF(G8&lt;0,H8*(100+G8)/100,H8)))</f>
        <v>50</v>
      </c>
      <c r="AB8">
        <f>IF(G8=100,-H8,IF(G8=-100,H8,IF(G8&gt;0,H8*(100-G8)/100,H8)))</f>
        <v>-50</v>
      </c>
    </row>
    <row r="9" spans="1:28" x14ac:dyDescent="0.55000000000000004">
      <c r="A9">
        <v>60</v>
      </c>
      <c r="B9">
        <v>60</v>
      </c>
      <c r="C9">
        <v>0</v>
      </c>
      <c r="D9" t="s">
        <v>0</v>
      </c>
      <c r="E9" t="s">
        <v>4</v>
      </c>
      <c r="F9">
        <v>0.32</v>
      </c>
      <c r="G9">
        <v>-100</v>
      </c>
      <c r="H9">
        <v>50</v>
      </c>
      <c r="I9">
        <f>SIGN(AA9)*SUMIF(abaqus!A:A,CONCATENATE("=",ABS(AA9)),abaqus!B:B)</f>
        <v>-7.0685835749999999</v>
      </c>
      <c r="J9">
        <f>SIGN(AB9)*SUMIF(abaqus!A:A,CONCATENATE("=",ABS(AB9)),abaqus!B:B)</f>
        <v>7.0685835749999999</v>
      </c>
      <c r="K9">
        <f>IF(D9="E",I9,0)+IF(E9="E",-J9,0)</f>
        <v>-7.0685835749999999</v>
      </c>
      <c r="L9">
        <f>IF(D9="F",-I9,0)+IF(E9="F",J9,0)</f>
        <v>7.0685835749999999</v>
      </c>
      <c r="M9">
        <f t="shared" si="1"/>
        <v>0</v>
      </c>
      <c r="N9">
        <f t="shared" si="2"/>
        <v>-4.9853989949622157</v>
      </c>
      <c r="O9">
        <v>-91.405541561713989</v>
      </c>
      <c r="P9">
        <v>60</v>
      </c>
      <c r="Q9">
        <v>60</v>
      </c>
      <c r="R9">
        <f t="shared" si="3"/>
        <v>129.6</v>
      </c>
      <c r="S9">
        <f t="shared" si="4"/>
        <v>129.6</v>
      </c>
      <c r="T9">
        <f t="shared" si="0"/>
        <v>535.71428571428567</v>
      </c>
      <c r="U9">
        <f>(1005-Q9/0.112)</f>
        <v>469.28571428571433</v>
      </c>
      <c r="V9" t="s">
        <v>45</v>
      </c>
      <c r="W9">
        <v>231</v>
      </c>
      <c r="X9">
        <v>330</v>
      </c>
      <c r="Y9">
        <v>467</v>
      </c>
      <c r="AA9">
        <f>IF(G9=100,H9,IF(G9=-100,-H9,IF(G9&lt;0,H9*(100+G9)/100,H9)))</f>
        <v>-50</v>
      </c>
      <c r="AB9">
        <f>IF(G9=100,-H9,IF(G9=-100,H9,IF(G9&gt;0,H9*(100-G9)/100,H9)))</f>
        <v>50</v>
      </c>
    </row>
    <row r="10" spans="1:28" x14ac:dyDescent="0.55000000000000004">
      <c r="A10">
        <v>60</v>
      </c>
      <c r="B10">
        <v>60</v>
      </c>
      <c r="C10">
        <v>0</v>
      </c>
      <c r="D10" t="s">
        <v>0</v>
      </c>
      <c r="E10" t="s">
        <v>4</v>
      </c>
      <c r="F10">
        <v>0.64</v>
      </c>
      <c r="G10">
        <v>100</v>
      </c>
      <c r="H10">
        <v>50</v>
      </c>
      <c r="I10">
        <f>SIGN(AA10)*SUMIF(abaqus!A:A,CONCATENATE("=",ABS(AA10)),abaqus!B:B)</f>
        <v>7.0685835749999999</v>
      </c>
      <c r="J10">
        <f>SIGN(AB10)*SUMIF(abaqus!A:A,CONCATENATE("=",ABS(AB10)),abaqus!B:B)</f>
        <v>-7.0685835749999999</v>
      </c>
      <c r="K10">
        <f>IF(D10="E",I10,0)+IF(E10="E",-J10,0)</f>
        <v>7.0685835749999999</v>
      </c>
      <c r="L10">
        <f>IF(D10="F",-I10,0)+IF(E10="F",J10,0)</f>
        <v>-7.0685835749999999</v>
      </c>
      <c r="M10">
        <f t="shared" si="1"/>
        <v>0</v>
      </c>
      <c r="N10">
        <f t="shared" si="2"/>
        <v>4.9853989949622157</v>
      </c>
      <c r="O10">
        <v>182.81108312342889</v>
      </c>
      <c r="P10">
        <v>60</v>
      </c>
      <c r="Q10">
        <v>60</v>
      </c>
      <c r="R10">
        <f t="shared" si="3"/>
        <v>-259.2</v>
      </c>
      <c r="S10">
        <f t="shared" si="4"/>
        <v>-259.2</v>
      </c>
      <c r="T10">
        <f t="shared" si="0"/>
        <v>535.71428571428567</v>
      </c>
      <c r="U10">
        <f>(1005-Q10/0.112)</f>
        <v>469.28571428571433</v>
      </c>
      <c r="V10" t="s">
        <v>41</v>
      </c>
      <c r="W10">
        <v>795</v>
      </c>
      <c r="X10">
        <v>899</v>
      </c>
      <c r="Y10">
        <v>915</v>
      </c>
      <c r="AA10">
        <f>IF(G10=100,H10,IF(G10=-100,-H10,IF(G10&lt;0,H10*(100+G10)/100,H10)))</f>
        <v>50</v>
      </c>
      <c r="AB10">
        <f>IF(G10=100,-H10,IF(G10=-100,H10,IF(G10&gt;0,H10*(100-G10)/100,H10)))</f>
        <v>-50</v>
      </c>
    </row>
    <row r="11" spans="1:28" x14ac:dyDescent="0.55000000000000004">
      <c r="A11">
        <v>60</v>
      </c>
      <c r="B11">
        <v>60</v>
      </c>
      <c r="C11">
        <v>0</v>
      </c>
      <c r="D11" t="s">
        <v>0</v>
      </c>
      <c r="E11" t="s">
        <v>4</v>
      </c>
      <c r="F11">
        <v>1.6</v>
      </c>
      <c r="G11">
        <v>100</v>
      </c>
      <c r="H11">
        <v>-50</v>
      </c>
      <c r="I11">
        <f>SIGN(AA11)*SUMIF(abaqus!A:A,CONCATENATE("=",ABS(AA11)),abaqus!B:B)</f>
        <v>-7.0685835749999999</v>
      </c>
      <c r="J11">
        <f>SIGN(AB11)*SUMIF(abaqus!A:A,CONCATENATE("=",ABS(AB11)),abaqus!B:B)</f>
        <v>7.0685835749999999</v>
      </c>
      <c r="K11">
        <f>IF(D11="E",I11,0)+IF(E11="E",-J11,0)</f>
        <v>-7.0685835749999999</v>
      </c>
      <c r="L11">
        <f>IF(D11="F",-I11,0)+IF(E11="F",J11,0)</f>
        <v>7.0685835749999999</v>
      </c>
      <c r="M11">
        <f t="shared" si="1"/>
        <v>0</v>
      </c>
      <c r="N11">
        <f t="shared" si="2"/>
        <v>-4.9853989949622157</v>
      </c>
      <c r="O11">
        <v>-457.027707808625</v>
      </c>
      <c r="P11">
        <v>60</v>
      </c>
      <c r="Q11">
        <v>60</v>
      </c>
      <c r="R11">
        <f t="shared" si="3"/>
        <v>648</v>
      </c>
      <c r="S11">
        <f t="shared" si="4"/>
        <v>648</v>
      </c>
      <c r="T11">
        <f t="shared" si="0"/>
        <v>535.71428571428567</v>
      </c>
      <c r="U11">
        <f>(1005-Q11/0.112)</f>
        <v>469.28571428571433</v>
      </c>
      <c r="V11" t="s">
        <v>45</v>
      </c>
      <c r="W11">
        <v>230</v>
      </c>
      <c r="X11">
        <v>291</v>
      </c>
      <c r="Y11">
        <v>375</v>
      </c>
      <c r="AA11">
        <f>IF(G11=100,H11,IF(G11=-100,-H11,IF(G11&lt;0,H11*(100+G11)/100,H11)))</f>
        <v>-50</v>
      </c>
      <c r="AB11">
        <f>IF(G11=100,-H11,IF(G11=-100,H11,IF(G11&gt;0,H11*(100-G11)/100,H11)))</f>
        <v>50</v>
      </c>
    </row>
    <row r="12" spans="1:28" x14ac:dyDescent="0.55000000000000004">
      <c r="A12">
        <v>60</v>
      </c>
      <c r="B12">
        <v>60</v>
      </c>
      <c r="C12">
        <v>0</v>
      </c>
      <c r="D12" t="s">
        <v>0</v>
      </c>
      <c r="E12" t="s">
        <v>4</v>
      </c>
      <c r="F12">
        <v>0.32</v>
      </c>
      <c r="G12">
        <v>99</v>
      </c>
      <c r="H12">
        <v>50</v>
      </c>
      <c r="I12">
        <f>SIGN(AA12)*SUMIF(abaqus!A:A,CONCATENATE("=",ABS(AA12)),abaqus!B:B)</f>
        <v>7.0685835749999999</v>
      </c>
      <c r="J12">
        <f>SIGN(AB12)*SUMIF(abaqus!A:A,CONCATENATE("=",ABS(AB12)),abaqus!B:B)</f>
        <v>0</v>
      </c>
      <c r="K12">
        <f>IF(D12="E",I12,0)+IF(E12="E",-J12,0)</f>
        <v>7.0685835749999999</v>
      </c>
      <c r="L12">
        <f>IF(D12="F",-I12,0)+IF(E12="F",J12,0)</f>
        <v>0</v>
      </c>
      <c r="M12">
        <f t="shared" si="1"/>
        <v>9.8960170049999991</v>
      </c>
      <c r="N12">
        <f t="shared" si="2"/>
        <v>2.4926994974811079</v>
      </c>
      <c r="O12">
        <v>45.702770780856994</v>
      </c>
      <c r="P12">
        <v>62.841436657082717</v>
      </c>
      <c r="Q12">
        <v>61.197426678706698</v>
      </c>
      <c r="R12">
        <f t="shared" si="3"/>
        <v>-129.6</v>
      </c>
      <c r="S12">
        <f t="shared" si="4"/>
        <v>0</v>
      </c>
      <c r="T12">
        <f t="shared" si="0"/>
        <v>561.08425586680994</v>
      </c>
      <c r="U12">
        <f>(1005-Q12/0.112)</f>
        <v>458.59440465440446</v>
      </c>
      <c r="V12" t="s">
        <v>45</v>
      </c>
      <c r="W12">
        <v>340</v>
      </c>
      <c r="X12">
        <v>502</v>
      </c>
      <c r="Y12">
        <v>370</v>
      </c>
      <c r="AA12">
        <f>IF(G12=100,H12,IF(G12=-100,-H12,IF(G12&lt;0,H12*(100+G12)/100,H12)))</f>
        <v>50</v>
      </c>
      <c r="AB12">
        <f>IF(G12=100,-H12,IF(G12=-100,H12,IF(G12&gt;0,H12*(100-G12)/100,H12)))</f>
        <v>0.5</v>
      </c>
    </row>
    <row r="13" spans="1:28" x14ac:dyDescent="0.55000000000000004">
      <c r="A13">
        <v>60</v>
      </c>
      <c r="B13">
        <v>60</v>
      </c>
      <c r="C13">
        <v>0</v>
      </c>
      <c r="D13" t="s">
        <v>0</v>
      </c>
      <c r="E13" t="s">
        <v>4</v>
      </c>
      <c r="F13">
        <v>0.32</v>
      </c>
      <c r="G13">
        <v>-99</v>
      </c>
      <c r="H13">
        <v>50</v>
      </c>
      <c r="I13">
        <f>SIGN(AA13)*SUMIF(abaqus!A:A,CONCATENATE("=",ABS(AA13)),abaqus!B:B)</f>
        <v>0</v>
      </c>
      <c r="J13">
        <f>SIGN(AB13)*SUMIF(abaqus!A:A,CONCATENATE("=",ABS(AB13)),abaqus!B:B)</f>
        <v>7.0685835749999999</v>
      </c>
      <c r="K13">
        <f>IF(D13="E",I13,0)+IF(E13="E",-J13,0)</f>
        <v>0</v>
      </c>
      <c r="L13">
        <f>IF(D13="F",-I13,0)+IF(E13="F",J13,0)</f>
        <v>7.0685835749999999</v>
      </c>
      <c r="M13">
        <f t="shared" si="1"/>
        <v>9.8960170049999991</v>
      </c>
      <c r="N13">
        <f t="shared" si="2"/>
        <v>-2.4926994974811079</v>
      </c>
      <c r="O13">
        <v>-45.702770780856994</v>
      </c>
      <c r="P13">
        <v>62.841436657082717</v>
      </c>
      <c r="Q13">
        <v>58.802573321293302</v>
      </c>
      <c r="R13">
        <f t="shared" si="3"/>
        <v>0</v>
      </c>
      <c r="S13">
        <f t="shared" si="4"/>
        <v>129.6</v>
      </c>
      <c r="T13">
        <f t="shared" si="0"/>
        <v>561.08425586680994</v>
      </c>
      <c r="U13">
        <f>(1005-Q13/0.112)</f>
        <v>479.9770239170241</v>
      </c>
      <c r="V13" t="s">
        <v>40</v>
      </c>
      <c r="W13">
        <v>489</v>
      </c>
      <c r="X13">
        <v>712</v>
      </c>
      <c r="Y13">
        <v>469</v>
      </c>
      <c r="AA13">
        <f>IF(G13=100,H13,IF(G13=-100,-H13,IF(G13&lt;0,H13*(100+G13)/100,H13)))</f>
        <v>0.5</v>
      </c>
      <c r="AB13">
        <f>IF(G13=100,-H13,IF(G13=-100,H13,IF(G13&gt;0,H13*(100-G13)/100,H13)))</f>
        <v>50</v>
      </c>
    </row>
    <row r="14" spans="1:28" x14ac:dyDescent="0.55000000000000004">
      <c r="A14">
        <v>60</v>
      </c>
      <c r="B14">
        <v>60</v>
      </c>
      <c r="C14">
        <v>0</v>
      </c>
      <c r="D14" t="s">
        <v>0</v>
      </c>
      <c r="E14" t="s">
        <v>4</v>
      </c>
      <c r="F14">
        <v>0.64</v>
      </c>
      <c r="G14">
        <v>99</v>
      </c>
      <c r="H14">
        <v>50</v>
      </c>
      <c r="I14">
        <f>SIGN(AA14)*SUMIF(abaqus!A:A,CONCATENATE("=",ABS(AA14)),abaqus!B:B)</f>
        <v>7.0685835749999999</v>
      </c>
      <c r="J14">
        <f>SIGN(AB14)*SUMIF(abaqus!A:A,CONCATENATE("=",ABS(AB14)),abaqus!B:B)</f>
        <v>0</v>
      </c>
      <c r="K14">
        <f>IF(D14="E",I14,0)+IF(E14="E",-J14,0)</f>
        <v>7.0685835749999999</v>
      </c>
      <c r="L14">
        <f>IF(D14="F",-I14,0)+IF(E14="F",J14,0)</f>
        <v>0</v>
      </c>
      <c r="M14">
        <f t="shared" si="1"/>
        <v>9.8960170049999991</v>
      </c>
      <c r="N14">
        <f t="shared" si="2"/>
        <v>2.4926994974811079</v>
      </c>
      <c r="O14">
        <v>91.405541561714443</v>
      </c>
      <c r="P14">
        <v>63.968805769169201</v>
      </c>
      <c r="Q14">
        <v>64.067379961421594</v>
      </c>
      <c r="R14">
        <f t="shared" si="3"/>
        <v>-259.2</v>
      </c>
      <c r="S14">
        <f t="shared" si="4"/>
        <v>0</v>
      </c>
      <c r="T14">
        <f t="shared" si="0"/>
        <v>571.15005151043931</v>
      </c>
      <c r="U14">
        <f>(1005-Q14/0.112)</f>
        <v>432.96982177302152</v>
      </c>
      <c r="V14" t="s">
        <v>41</v>
      </c>
      <c r="W14">
        <v>485</v>
      </c>
      <c r="X14">
        <v>728</v>
      </c>
      <c r="Y14">
        <v>821</v>
      </c>
      <c r="AA14">
        <f>IF(G14=100,H14,IF(G14=-100,-H14,IF(G14&lt;0,H14*(100+G14)/100,H14)))</f>
        <v>50</v>
      </c>
      <c r="AB14">
        <f>IF(G14=100,-H14,IF(G14=-100,H14,IF(G14&gt;0,H14*(100-G14)/100,H14)))</f>
        <v>0.5</v>
      </c>
    </row>
    <row r="15" spans="1:28" x14ac:dyDescent="0.55000000000000004">
      <c r="A15">
        <v>60</v>
      </c>
      <c r="B15">
        <v>60</v>
      </c>
      <c r="C15">
        <v>0</v>
      </c>
      <c r="D15" t="s">
        <v>0</v>
      </c>
      <c r="E15" t="s">
        <v>4</v>
      </c>
      <c r="F15">
        <v>1.6</v>
      </c>
      <c r="G15">
        <v>99</v>
      </c>
      <c r="H15">
        <v>-50</v>
      </c>
      <c r="I15">
        <f>SIGN(AA15)*SUMIF(abaqus!A:A,CONCATENATE("=",ABS(AA15)),abaqus!B:B)</f>
        <v>-7.0685835749999999</v>
      </c>
      <c r="J15">
        <f>SIGN(AB15)*SUMIF(abaqus!A:A,CONCATENATE("=",ABS(AB15)),abaqus!B:B)</f>
        <v>0</v>
      </c>
      <c r="K15">
        <f>IF(D15="E",I15,0)+IF(E15="E",-J15,0)</f>
        <v>-7.0685835749999999</v>
      </c>
      <c r="L15">
        <f>IF(D15="F",-I15,0)+IF(E15="F",J15,0)</f>
        <v>0</v>
      </c>
      <c r="M15">
        <f t="shared" si="1"/>
        <v>-9.8960170049999991</v>
      </c>
      <c r="N15">
        <f t="shared" si="2"/>
        <v>-2.4926994974811079</v>
      </c>
      <c r="O15">
        <v>-228.5138539043125</v>
      </c>
      <c r="P15">
        <v>62.973990541631117</v>
      </c>
      <c r="Q15">
        <v>66.599882820592043</v>
      </c>
      <c r="R15">
        <f t="shared" si="3"/>
        <v>648</v>
      </c>
      <c r="S15">
        <f t="shared" si="4"/>
        <v>0</v>
      </c>
      <c r="T15">
        <f t="shared" si="0"/>
        <v>562.26777269313493</v>
      </c>
      <c r="U15">
        <f>(1005-Q15/0.112)</f>
        <v>410.35818910185674</v>
      </c>
      <c r="V15" t="s">
        <v>41</v>
      </c>
      <c r="W15">
        <v>707</v>
      </c>
      <c r="X15">
        <v>855</v>
      </c>
      <c r="Y15">
        <v>932</v>
      </c>
      <c r="AA15">
        <f>IF(G15=100,H15,IF(G15=-100,-H15,IF(G15&lt;0,H15*(100+G15)/100,H15)))</f>
        <v>-50</v>
      </c>
      <c r="AB15">
        <f>IF(G15=100,-H15,IF(G15=-100,H15,IF(G15&gt;0,H15*(100-G15)/100,H15)))</f>
        <v>-0.5</v>
      </c>
    </row>
    <row r="16" spans="1:28" x14ac:dyDescent="0.55000000000000004">
      <c r="A16">
        <v>60</v>
      </c>
      <c r="B16">
        <v>60</v>
      </c>
      <c r="C16">
        <v>0</v>
      </c>
      <c r="D16" t="s">
        <v>0</v>
      </c>
      <c r="E16" t="s">
        <v>4</v>
      </c>
      <c r="F16">
        <v>3.2</v>
      </c>
      <c r="G16">
        <v>0</v>
      </c>
      <c r="H16">
        <v>20</v>
      </c>
      <c r="I16">
        <f>SIGN(AA16)*SUMIF(abaqus!A:A,CONCATENATE("=",ABS(AA16)),abaqus!B:B)</f>
        <v>2.8274334300000001</v>
      </c>
      <c r="J16">
        <f>SIGN(AB16)*SUMIF(abaqus!A:A,CONCATENATE("=",ABS(AB16)),abaqus!B:B)</f>
        <v>2.8274334300000001</v>
      </c>
      <c r="K16">
        <f>IF(D16="E",I16,0)+IF(E16="E",-J16,0)</f>
        <v>2.8274334300000001</v>
      </c>
      <c r="L16">
        <f>IF(D16="F",-I16,0)+IF(E16="F",J16,0)</f>
        <v>2.8274334300000001</v>
      </c>
      <c r="M16">
        <f>(K16+L16)*0.5*5.6/2</f>
        <v>7.9168136039999997</v>
      </c>
      <c r="N16">
        <f>(K16-L16)/3.97/2*5.6/2</f>
        <v>0</v>
      </c>
      <c r="O16">
        <v>0</v>
      </c>
      <c r="P16">
        <v>85.333803532792402</v>
      </c>
      <c r="Q16">
        <v>60</v>
      </c>
      <c r="R16">
        <f t="shared" si="3"/>
        <v>-518.40000000000009</v>
      </c>
      <c r="S16">
        <f t="shared" si="4"/>
        <v>518.40000000000009</v>
      </c>
      <c r="T16">
        <f t="shared" si="0"/>
        <v>761.90896011421785</v>
      </c>
      <c r="U16">
        <f>(1005-Q16/0.112)</f>
        <v>469.28571428571433</v>
      </c>
      <c r="V16" t="s">
        <v>46</v>
      </c>
      <c r="W16">
        <v>467</v>
      </c>
      <c r="X16">
        <v>622</v>
      </c>
      <c r="Y16">
        <v>503</v>
      </c>
      <c r="AA16">
        <f>IF(G16=100,H16,IF(G16=-100,-H16,IF(G16&lt;0,H16*(100+G16)/100,H16)))</f>
        <v>20</v>
      </c>
      <c r="AB16">
        <f>IF(G16=100,-H16,IF(G16=-100,H16,IF(G16&gt;0,H16*(100-G16)/100,H16)))</f>
        <v>20</v>
      </c>
    </row>
    <row r="17" spans="1:28" x14ac:dyDescent="0.55000000000000004">
      <c r="A17">
        <v>60</v>
      </c>
      <c r="B17">
        <v>60</v>
      </c>
      <c r="C17">
        <v>0</v>
      </c>
      <c r="D17" t="s">
        <v>0</v>
      </c>
      <c r="E17" t="s">
        <v>4</v>
      </c>
      <c r="F17">
        <f>F16*2</f>
        <v>6.4</v>
      </c>
      <c r="G17">
        <v>0</v>
      </c>
      <c r="H17">
        <v>20</v>
      </c>
      <c r="I17">
        <f>SIGN(AA17)*SUMIF(abaqus!A:A,CONCATENATE("=",ABS(AA17)),abaqus!B:B)</f>
        <v>2.8274334300000001</v>
      </c>
      <c r="J17">
        <f>SIGN(AB17)*SUMIF(abaqus!A:A,CONCATENATE("=",ABS(AB17)),abaqus!B:B)</f>
        <v>2.8274334300000001</v>
      </c>
      <c r="K17">
        <f>IF(D17="E",I17,0)+IF(E17="E",-J17,0)</f>
        <v>2.8274334300000001</v>
      </c>
      <c r="L17">
        <f>IF(D17="F",-I17,0)+IF(E17="F",J17,0)</f>
        <v>2.8274334300000001</v>
      </c>
      <c r="M17">
        <f>(K17+L17)*0.5*5.6/2</f>
        <v>7.9168136039999997</v>
      </c>
      <c r="N17">
        <f>(K17-L17)/3.97/2*5.6/2</f>
        <v>0</v>
      </c>
      <c r="O17">
        <v>0</v>
      </c>
      <c r="P17">
        <v>110.66760706559508</v>
      </c>
      <c r="Q17">
        <v>60</v>
      </c>
      <c r="R17">
        <f t="shared" si="3"/>
        <v>-1036.8000000000002</v>
      </c>
      <c r="S17">
        <f t="shared" si="4"/>
        <v>1036.8000000000002</v>
      </c>
      <c r="T17">
        <f t="shared" si="0"/>
        <v>988.10363451424178</v>
      </c>
      <c r="U17">
        <f>(1005-Q17/0.112)</f>
        <v>469.28571428571433</v>
      </c>
      <c r="V17" t="s">
        <v>45</v>
      </c>
      <c r="W17">
        <v>0</v>
      </c>
      <c r="X17">
        <v>0</v>
      </c>
      <c r="Y17">
        <v>0</v>
      </c>
      <c r="AA17">
        <f>IF(G17=100,H17,IF(G17=-100,-H17,IF(G17&lt;0,H17*(100+G17)/100,H17)))</f>
        <v>20</v>
      </c>
      <c r="AB17">
        <f>IF(G17=100,-H17,IF(G17=-100,H17,IF(G17&gt;0,H17*(100-G17)/100,H17)))</f>
        <v>20</v>
      </c>
    </row>
    <row r="18" spans="1:28" x14ac:dyDescent="0.55000000000000004">
      <c r="A18">
        <v>60</v>
      </c>
      <c r="B18">
        <v>60</v>
      </c>
      <c r="C18">
        <v>0</v>
      </c>
      <c r="D18" t="s">
        <v>0</v>
      </c>
      <c r="E18" t="s">
        <v>4</v>
      </c>
      <c r="F18">
        <f>F17*2</f>
        <v>12.8</v>
      </c>
      <c r="G18">
        <v>0</v>
      </c>
      <c r="H18">
        <v>20</v>
      </c>
      <c r="I18">
        <f>SIGN(AA18)*SUMIF(abaqus!A:A,CONCATENATE("=",ABS(AA18)),abaqus!B:B)</f>
        <v>2.8274334300000001</v>
      </c>
      <c r="J18">
        <f>SIGN(AB18)*SUMIF(abaqus!A:A,CONCATENATE("=",ABS(AB18)),abaqus!B:B)</f>
        <v>2.8274334300000001</v>
      </c>
      <c r="K18">
        <f>IF(D18="E",I18,0)+IF(E18="E",-J18,0)</f>
        <v>2.8274334300000001</v>
      </c>
      <c r="L18">
        <f>IF(D18="F",-I18,0)+IF(E18="F",J18,0)</f>
        <v>2.8274334300000001</v>
      </c>
      <c r="M18">
        <f>(K18+L18)*0.5*5.6/2</f>
        <v>7.9168136039999997</v>
      </c>
      <c r="N18">
        <f>(K18-L18)/3.97/2*5.6/2</f>
        <v>0</v>
      </c>
      <c r="O18">
        <v>0</v>
      </c>
      <c r="P18">
        <v>161.33521413126385</v>
      </c>
      <c r="Q18">
        <v>60</v>
      </c>
      <c r="R18">
        <f t="shared" si="3"/>
        <v>-2073.6000000000004</v>
      </c>
      <c r="S18">
        <f t="shared" si="4"/>
        <v>2073.6000000000004</v>
      </c>
      <c r="T18">
        <f t="shared" si="0"/>
        <v>1440.4929833148558</v>
      </c>
      <c r="U18">
        <f>(1005-Q18/0.112)</f>
        <v>469.28571428571433</v>
      </c>
      <c r="V18" t="s">
        <v>45</v>
      </c>
      <c r="W18">
        <v>0</v>
      </c>
      <c r="X18">
        <v>0</v>
      </c>
      <c r="Y18">
        <v>0</v>
      </c>
      <c r="AA18">
        <f>IF(G18=100,H18,IF(G18=-100,-H18,IF(G18&lt;0,H18*(100+G18)/100,H18)))</f>
        <v>20</v>
      </c>
      <c r="AB18">
        <f>IF(G18=100,-H18,IF(G18=-100,H18,IF(G18&gt;0,H18*(100-G18)/100,H18)))</f>
        <v>20</v>
      </c>
    </row>
    <row r="19" spans="1:28" x14ac:dyDescent="0.55000000000000004">
      <c r="A19">
        <v>60</v>
      </c>
      <c r="B19">
        <v>60</v>
      </c>
      <c r="C19">
        <v>0</v>
      </c>
      <c r="D19" t="s">
        <v>0</v>
      </c>
      <c r="E19" t="s">
        <v>4</v>
      </c>
      <c r="F19">
        <v>3.2</v>
      </c>
      <c r="G19">
        <v>100</v>
      </c>
      <c r="H19">
        <v>50</v>
      </c>
      <c r="I19">
        <f>SIGN(AA19)*SUMIF(abaqus!A:A,CONCATENATE("=",ABS(AA19)),abaqus!B:B)</f>
        <v>7.0685835749999999</v>
      </c>
      <c r="J19">
        <f>SIGN(AB19)*SUMIF(abaqus!A:A,CONCATENATE("=",ABS(AB19)),abaqus!B:B)</f>
        <v>-7.0685835749999999</v>
      </c>
      <c r="K19">
        <f>IF(D19="E",I19,0)+IF(E19="E",-J19,0)</f>
        <v>7.0685835749999999</v>
      </c>
      <c r="L19">
        <f>IF(D19="F",-I19,0)+IF(E19="F",J19,0)</f>
        <v>-7.0685835749999999</v>
      </c>
      <c r="M19">
        <f t="shared" ref="M19:M24" si="5">(K19+L19)*0.5*5.6/2</f>
        <v>0</v>
      </c>
      <c r="N19">
        <f t="shared" ref="N19:N24" si="6">(K19-L19)/3.97/2*5.6/2</f>
        <v>4.9853989949622157</v>
      </c>
      <c r="O19">
        <v>914.05541561698442</v>
      </c>
      <c r="P19">
        <v>60</v>
      </c>
      <c r="Q19">
        <v>60</v>
      </c>
      <c r="R19">
        <f t="shared" si="3"/>
        <v>-1296</v>
      </c>
      <c r="S19">
        <f t="shared" si="4"/>
        <v>-1296</v>
      </c>
      <c r="T19">
        <f t="shared" si="0"/>
        <v>535.71428571428567</v>
      </c>
      <c r="U19">
        <f>(1005-Q19/0.112)</f>
        <v>469.28571428571433</v>
      </c>
      <c r="V19" t="s">
        <v>41</v>
      </c>
      <c r="W19">
        <v>718</v>
      </c>
      <c r="X19">
        <v>859</v>
      </c>
      <c r="Y19">
        <v>903</v>
      </c>
      <c r="AA19">
        <f>IF(G19=100,H19,IF(G19=-100,-H19,IF(G19&lt;0,H19*(100+G19)/100,H19)))</f>
        <v>50</v>
      </c>
      <c r="AB19">
        <f>IF(G19=100,-H19,IF(G19=-100,H19,IF(G19&gt;0,H19*(100-G19)/100,H19)))</f>
        <v>-50</v>
      </c>
    </row>
    <row r="20" spans="1:28" x14ac:dyDescent="0.55000000000000004">
      <c r="A20">
        <v>60</v>
      </c>
      <c r="B20">
        <v>60</v>
      </c>
      <c r="C20">
        <v>0</v>
      </c>
      <c r="D20" t="s">
        <v>0</v>
      </c>
      <c r="E20" t="s">
        <v>4</v>
      </c>
      <c r="F20">
        <f>F19*2</f>
        <v>6.4</v>
      </c>
      <c r="G20">
        <v>100</v>
      </c>
      <c r="H20">
        <v>50</v>
      </c>
      <c r="I20">
        <f>SIGN(AA20)*SUMIF(abaqus!A:A,CONCATENATE("=",ABS(AA20)),abaqus!B:B)</f>
        <v>7.0685835749999999</v>
      </c>
      <c r="J20">
        <f>SIGN(AB20)*SUMIF(abaqus!A:A,CONCATENATE("=",ABS(AB20)),abaqus!B:B)</f>
        <v>-7.0685835749999999</v>
      </c>
      <c r="K20">
        <f>IF(D20="E",I20,0)+IF(E20="E",-J20,0)</f>
        <v>7.0685835749999999</v>
      </c>
      <c r="L20">
        <f>IF(D20="F",-I20,0)+IF(E20="F",J20,0)</f>
        <v>-7.0685835749999999</v>
      </c>
      <c r="M20">
        <f t="shared" si="5"/>
        <v>0</v>
      </c>
      <c r="N20">
        <f t="shared" si="6"/>
        <v>4.9853989949622157</v>
      </c>
      <c r="O20">
        <v>1828.1108312342099</v>
      </c>
      <c r="P20">
        <v>60</v>
      </c>
      <c r="Q20">
        <v>60</v>
      </c>
      <c r="R20">
        <f t="shared" si="3"/>
        <v>-2592</v>
      </c>
      <c r="S20">
        <f t="shared" si="4"/>
        <v>-2592</v>
      </c>
      <c r="T20">
        <f t="shared" si="0"/>
        <v>535.71428571428567</v>
      </c>
      <c r="U20">
        <f>(1005-Q20/0.112)</f>
        <v>469.28571428571433</v>
      </c>
      <c r="V20" t="s">
        <v>45</v>
      </c>
      <c r="W20">
        <v>381</v>
      </c>
      <c r="X20">
        <v>545</v>
      </c>
      <c r="Y20">
        <v>413</v>
      </c>
      <c r="AA20">
        <f>IF(G20=100,H20,IF(G20=-100,-H20,IF(G20&lt;0,H20*(100+G20)/100,H20)))</f>
        <v>50</v>
      </c>
      <c r="AB20">
        <f>IF(G20=100,-H20,IF(G20=-100,H20,IF(G20&gt;0,H20*(100-G20)/100,H20)))</f>
        <v>-50</v>
      </c>
    </row>
    <row r="21" spans="1:28" x14ac:dyDescent="0.55000000000000004">
      <c r="A21">
        <v>60</v>
      </c>
      <c r="B21">
        <v>60</v>
      </c>
      <c r="C21">
        <v>0</v>
      </c>
      <c r="D21" t="s">
        <v>0</v>
      </c>
      <c r="E21" t="s">
        <v>4</v>
      </c>
      <c r="F21">
        <f>F20*2</f>
        <v>12.8</v>
      </c>
      <c r="G21">
        <v>100</v>
      </c>
      <c r="H21">
        <v>50</v>
      </c>
      <c r="I21">
        <f>SIGN(AA21)*SUMIF(abaqus!A:A,CONCATENATE("=",ABS(AA21)),abaqus!B:B)</f>
        <v>7.0685835749999999</v>
      </c>
      <c r="J21">
        <f>SIGN(AB21)*SUMIF(abaqus!A:A,CONCATENATE("=",ABS(AB21)),abaqus!B:B)</f>
        <v>-7.0685835749999999</v>
      </c>
      <c r="K21">
        <f>IF(D21="E",I21,0)+IF(E21="E",-J21,0)</f>
        <v>7.0685835749999999</v>
      </c>
      <c r="L21">
        <f>IF(D21="F",-I21,0)+IF(E21="F",J21,0)</f>
        <v>-7.0685835749999999</v>
      </c>
      <c r="M21">
        <f t="shared" si="5"/>
        <v>0</v>
      </c>
      <c r="N21">
        <f t="shared" si="6"/>
        <v>4.9853989949622157</v>
      </c>
      <c r="O21">
        <v>3656.2216624666307</v>
      </c>
      <c r="P21">
        <v>60</v>
      </c>
      <c r="Q21">
        <v>60</v>
      </c>
      <c r="R21">
        <f t="shared" si="3"/>
        <v>-5184</v>
      </c>
      <c r="S21">
        <f t="shared" si="4"/>
        <v>-5184</v>
      </c>
      <c r="T21">
        <f t="shared" si="0"/>
        <v>535.71428571428567</v>
      </c>
      <c r="U21">
        <f>(1005-Q21/0.112)</f>
        <v>469.28571428571433</v>
      </c>
      <c r="V21" t="s">
        <v>41</v>
      </c>
      <c r="W21">
        <v>604</v>
      </c>
      <c r="X21">
        <v>772</v>
      </c>
      <c r="Y21">
        <v>841</v>
      </c>
      <c r="AA21">
        <f>IF(G21=100,H21,IF(G21=-100,-H21,IF(G21&lt;0,H21*(100+G21)/100,H21)))</f>
        <v>50</v>
      </c>
      <c r="AB21">
        <f>IF(G21=100,-H21,IF(G21=-100,H21,IF(G21&gt;0,H21*(100-G21)/100,H21)))</f>
        <v>-50</v>
      </c>
    </row>
    <row r="22" spans="1:28" x14ac:dyDescent="0.55000000000000004">
      <c r="A22">
        <v>60</v>
      </c>
      <c r="B22">
        <v>60</v>
      </c>
      <c r="C22">
        <v>0</v>
      </c>
      <c r="D22" t="s">
        <v>0</v>
      </c>
      <c r="E22" t="s">
        <v>4</v>
      </c>
      <c r="F22">
        <v>3.2</v>
      </c>
      <c r="G22">
        <v>99</v>
      </c>
      <c r="H22">
        <v>50</v>
      </c>
      <c r="I22">
        <f>SIGN(AA22)*SUMIF(abaqus!A:A,CONCATENATE("=",ABS(AA22)),abaqus!B:B)</f>
        <v>7.0685835749999999</v>
      </c>
      <c r="J22">
        <f>SIGN(AB22)*SUMIF(abaqus!A:A,CONCATENATE("=",ABS(AB22)),abaqus!B:B)</f>
        <v>0</v>
      </c>
      <c r="K22">
        <f>IF(D22="E",I22,0)+IF(E22="E",-J22,0)</f>
        <v>7.0685835749999999</v>
      </c>
      <c r="L22">
        <f>IF(D22="F",-I22,0)+IF(E22="F",J22,0)</f>
        <v>0</v>
      </c>
      <c r="M22">
        <f t="shared" si="5"/>
        <v>9.8960170049999991</v>
      </c>
      <c r="N22">
        <f t="shared" si="6"/>
        <v>2.4926994974811079</v>
      </c>
      <c r="O22">
        <v>457.02770780849221</v>
      </c>
      <c r="P22">
        <v>63.940177047378654</v>
      </c>
      <c r="Q22">
        <v>64.455727915575949</v>
      </c>
      <c r="R22">
        <f t="shared" si="3"/>
        <v>-1296</v>
      </c>
      <c r="S22">
        <f t="shared" si="4"/>
        <v>0</v>
      </c>
      <c r="T22">
        <f t="shared" si="0"/>
        <v>570.8944379230237</v>
      </c>
      <c r="U22">
        <f>(1005-Q22/0.112)</f>
        <v>429.50242932521473</v>
      </c>
      <c r="V22" t="s">
        <v>41</v>
      </c>
      <c r="W22">
        <v>636</v>
      </c>
      <c r="X22">
        <v>801</v>
      </c>
      <c r="Y22">
        <v>910</v>
      </c>
      <c r="AA22">
        <f>IF(G22=100,H22,IF(G22=-100,-H22,IF(G22&lt;0,H22*(100+G22)/100,H22)))</f>
        <v>50</v>
      </c>
      <c r="AB22">
        <f>IF(G22=100,-H22,IF(G22=-100,H22,IF(G22&gt;0,H22*(100-G22)/100,H22)))</f>
        <v>0.5</v>
      </c>
    </row>
    <row r="23" spans="1:28" x14ac:dyDescent="0.55000000000000004">
      <c r="A23">
        <v>60</v>
      </c>
      <c r="B23">
        <v>60</v>
      </c>
      <c r="C23">
        <v>0</v>
      </c>
      <c r="D23" t="s">
        <v>0</v>
      </c>
      <c r="E23" t="s">
        <v>4</v>
      </c>
      <c r="F23">
        <f>F22*2</f>
        <v>6.4</v>
      </c>
      <c r="G23">
        <v>99</v>
      </c>
      <c r="H23">
        <v>50</v>
      </c>
      <c r="I23">
        <f>SIGN(AA23)*SUMIF(abaqus!A:A,CONCATENATE("=",ABS(AA23)),abaqus!B:B)</f>
        <v>7.0685835749999999</v>
      </c>
      <c r="J23">
        <f>SIGN(AB23)*SUMIF(abaqus!A:A,CONCATENATE("=",ABS(AB23)),abaqus!B:B)</f>
        <v>0</v>
      </c>
      <c r="K23">
        <f>IF(D23="E",I23,0)+IF(E23="E",-J23,0)</f>
        <v>7.0685835749999999</v>
      </c>
      <c r="L23">
        <f>IF(D23="F",-I23,0)+IF(E23="F",J23,0)</f>
        <v>0</v>
      </c>
      <c r="M23">
        <f t="shared" si="5"/>
        <v>9.8960170049999991</v>
      </c>
      <c r="N23">
        <f t="shared" si="6"/>
        <v>2.4926994974811079</v>
      </c>
      <c r="O23">
        <v>914.05541561710493</v>
      </c>
      <c r="P23">
        <v>59.035843886114435</v>
      </c>
      <c r="Q23">
        <v>67.821143597353782</v>
      </c>
      <c r="R23">
        <f t="shared" si="3"/>
        <v>-2592</v>
      </c>
      <c r="S23">
        <f t="shared" si="4"/>
        <v>0</v>
      </c>
      <c r="T23">
        <f t="shared" si="0"/>
        <v>527.10574898316463</v>
      </c>
      <c r="U23">
        <f>(1005-Q23/0.112)</f>
        <v>399.45407502362696</v>
      </c>
      <c r="V23" t="s">
        <v>41</v>
      </c>
      <c r="W23">
        <v>518</v>
      </c>
      <c r="X23">
        <v>735</v>
      </c>
      <c r="Y23">
        <v>827</v>
      </c>
      <c r="AA23">
        <f>IF(G23=100,H23,IF(G23=-100,-H23,IF(G23&lt;0,H23*(100+G23)/100,H23)))</f>
        <v>50</v>
      </c>
      <c r="AB23">
        <f>IF(G23=100,-H23,IF(G23=-100,H23,IF(G23&gt;0,H23*(100-G23)/100,H23)))</f>
        <v>0.5</v>
      </c>
    </row>
    <row r="24" spans="1:28" x14ac:dyDescent="0.55000000000000004">
      <c r="A24">
        <v>60</v>
      </c>
      <c r="B24">
        <v>60</v>
      </c>
      <c r="C24">
        <v>0</v>
      </c>
      <c r="D24" t="s">
        <v>0</v>
      </c>
      <c r="E24" t="s">
        <v>4</v>
      </c>
      <c r="F24">
        <f>F23*2</f>
        <v>12.8</v>
      </c>
      <c r="G24">
        <v>99</v>
      </c>
      <c r="H24">
        <v>50</v>
      </c>
      <c r="I24">
        <f>SIGN(AA24)*SUMIF(abaqus!A:A,CONCATENATE("=",ABS(AA24)),abaqus!B:B)</f>
        <v>7.0685835749999999</v>
      </c>
      <c r="J24">
        <f>SIGN(AB24)*SUMIF(abaqus!A:A,CONCATENATE("=",ABS(AB24)),abaqus!B:B)</f>
        <v>0</v>
      </c>
      <c r="K24">
        <f>IF(D24="E",I24,0)+IF(E24="E",-J24,0)</f>
        <v>7.0685835749999999</v>
      </c>
      <c r="L24">
        <f>IF(D24="F",-I24,0)+IF(E24="F",J24,0)</f>
        <v>0</v>
      </c>
      <c r="M24">
        <f t="shared" si="5"/>
        <v>9.8960170049999991</v>
      </c>
      <c r="N24">
        <f t="shared" si="6"/>
        <v>2.4926994974811079</v>
      </c>
      <c r="O24">
        <v>1828.1108312333154</v>
      </c>
      <c r="P24">
        <v>61.870582385672556</v>
      </c>
      <c r="Q24">
        <v>60.468308085812382</v>
      </c>
      <c r="R24">
        <f t="shared" si="3"/>
        <v>-5184</v>
      </c>
      <c r="S24">
        <f t="shared" si="4"/>
        <v>0</v>
      </c>
      <c r="T24">
        <f t="shared" si="0"/>
        <v>552.41591415779067</v>
      </c>
      <c r="U24">
        <f>(1005-Q24/0.112)</f>
        <v>465.10439209096091</v>
      </c>
      <c r="V24" t="s">
        <v>40</v>
      </c>
      <c r="W24">
        <v>463</v>
      </c>
      <c r="X24">
        <v>689</v>
      </c>
      <c r="Y24">
        <v>461</v>
      </c>
      <c r="AA24">
        <f>IF(G24=100,H24,IF(G24=-100,-H24,IF(G24&lt;0,H24*(100+G24)/100,H24)))</f>
        <v>50</v>
      </c>
      <c r="AB24">
        <f>IF(G24=100,-H24,IF(G24=-100,H24,IF(G24&gt;0,H24*(100-G24)/100,H24)))</f>
        <v>0.5</v>
      </c>
    </row>
    <row r="25" spans="1:28" x14ac:dyDescent="0.55000000000000004">
      <c r="A25">
        <v>60</v>
      </c>
      <c r="B25">
        <v>60</v>
      </c>
      <c r="C25">
        <v>0</v>
      </c>
      <c r="D25" t="s">
        <v>0</v>
      </c>
      <c r="E25" t="s">
        <v>4</v>
      </c>
      <c r="F25">
        <v>3.2</v>
      </c>
      <c r="G25">
        <v>0</v>
      </c>
      <c r="H25">
        <v>20</v>
      </c>
      <c r="I25">
        <f>SIGN(AA25)*SUMIF(abaqus!A:A,CONCATENATE("=",ABS(AA25)),abaqus!B:B)</f>
        <v>2.8274334300000001</v>
      </c>
      <c r="J25">
        <f>SIGN(AB25)*SUMIF(abaqus!A:A,CONCATENATE("=",ABS(AB25)),abaqus!B:B)</f>
        <v>2.8274334300000001</v>
      </c>
      <c r="K25">
        <f>IF(D25="E",I25,0)+IF(E25="E",-J25,0)</f>
        <v>2.8274334300000001</v>
      </c>
      <c r="L25">
        <f>IF(D25="F",-I25,0)+IF(E25="F",J25,0)</f>
        <v>2.8274334300000001</v>
      </c>
      <c r="M25">
        <f>(K25+L25)*0.5*5.6/2</f>
        <v>7.9168136039999997</v>
      </c>
      <c r="N25">
        <f>(K25-L25)/3.97/2*5.6/2</f>
        <v>0</v>
      </c>
      <c r="O25">
        <v>0</v>
      </c>
      <c r="P25">
        <v>85.333803532792402</v>
      </c>
      <c r="Q25">
        <v>60</v>
      </c>
      <c r="R25">
        <f t="shared" si="3"/>
        <v>-518.40000000000009</v>
      </c>
      <c r="S25">
        <f t="shared" si="4"/>
        <v>518.40000000000009</v>
      </c>
      <c r="T25">
        <f t="shared" si="0"/>
        <v>761.90896011421785</v>
      </c>
      <c r="U25">
        <f>(1005-Q25/0.112)</f>
        <v>469.28571428571433</v>
      </c>
      <c r="V25" t="s">
        <v>46</v>
      </c>
      <c r="W25">
        <v>467</v>
      </c>
      <c r="X25">
        <v>622</v>
      </c>
      <c r="Y25">
        <v>503</v>
      </c>
      <c r="AA25">
        <f>IF(G25=100,H25,IF(G25=-100,-H25,IF(G25&lt;0,H25*(100+G25)/100,H25)))</f>
        <v>20</v>
      </c>
      <c r="AB25">
        <f>IF(G25=100,-H25,IF(G25=-100,H25,IF(G25&gt;0,H25*(100-G25)/100,H25)))</f>
        <v>20</v>
      </c>
    </row>
    <row r="26" spans="1:28" x14ac:dyDescent="0.55000000000000004">
      <c r="A26">
        <v>60</v>
      </c>
      <c r="B26">
        <v>60</v>
      </c>
      <c r="C26">
        <v>0</v>
      </c>
      <c r="D26" t="s">
        <v>0</v>
      </c>
      <c r="E26" t="s">
        <v>4</v>
      </c>
      <c r="F26">
        <f>F25*2</f>
        <v>6.4</v>
      </c>
      <c r="G26">
        <v>0</v>
      </c>
      <c r="H26">
        <v>20</v>
      </c>
      <c r="I26">
        <f>SIGN(AA26)*SUMIF(abaqus!A:A,CONCATENATE("=",ABS(AA26)),abaqus!B:B)</f>
        <v>2.8274334300000001</v>
      </c>
      <c r="J26">
        <f>SIGN(AB26)*SUMIF(abaqus!A:A,CONCATENATE("=",ABS(AB26)),abaqus!B:B)</f>
        <v>2.8274334300000001</v>
      </c>
      <c r="K26">
        <f>IF(D26="E",I26,0)+IF(E26="E",-J26,0)</f>
        <v>2.8274334300000001</v>
      </c>
      <c r="L26">
        <f>IF(D26="F",-I26,0)+IF(E26="F",J26,0)</f>
        <v>2.8274334300000001</v>
      </c>
      <c r="M26">
        <f>(K26+L26)*0.5*5.6/2</f>
        <v>7.9168136039999997</v>
      </c>
      <c r="N26">
        <f>(K26-L26)/3.97/2*5.6/2</f>
        <v>0</v>
      </c>
      <c r="O26">
        <v>0</v>
      </c>
      <c r="P26">
        <v>110.66760706559508</v>
      </c>
      <c r="Q26">
        <v>60</v>
      </c>
      <c r="R26">
        <f t="shared" si="3"/>
        <v>-1036.8000000000002</v>
      </c>
      <c r="S26">
        <f t="shared" si="4"/>
        <v>1036.8000000000002</v>
      </c>
      <c r="T26">
        <f t="shared" si="0"/>
        <v>988.10363451424178</v>
      </c>
      <c r="U26">
        <f>(1005-Q26/0.112)</f>
        <v>469.28571428571433</v>
      </c>
      <c r="V26" t="s">
        <v>45</v>
      </c>
      <c r="W26">
        <v>0</v>
      </c>
      <c r="X26">
        <v>0</v>
      </c>
      <c r="Y26">
        <v>0</v>
      </c>
      <c r="AA26">
        <f>IF(G26=100,H26,IF(G26=-100,-H26,IF(G26&lt;0,H26*(100+G26)/100,H26)))</f>
        <v>20</v>
      </c>
      <c r="AB26">
        <f>IF(G26=100,-H26,IF(G26=-100,H26,IF(G26&gt;0,H26*(100-G26)/100,H26)))</f>
        <v>20</v>
      </c>
    </row>
    <row r="27" spans="1:28" x14ac:dyDescent="0.55000000000000004">
      <c r="A27">
        <v>60</v>
      </c>
      <c r="B27">
        <v>60</v>
      </c>
      <c r="C27">
        <v>0</v>
      </c>
      <c r="D27" t="s">
        <v>0</v>
      </c>
      <c r="E27" t="s">
        <v>4</v>
      </c>
      <c r="F27">
        <f>F26*2</f>
        <v>12.8</v>
      </c>
      <c r="G27">
        <v>0</v>
      </c>
      <c r="H27">
        <v>20</v>
      </c>
      <c r="I27">
        <f>SIGN(AA27)*SUMIF(abaqus!A:A,CONCATENATE("=",ABS(AA27)),abaqus!B:B)</f>
        <v>2.8274334300000001</v>
      </c>
      <c r="J27">
        <f>SIGN(AB27)*SUMIF(abaqus!A:A,CONCATENATE("=",ABS(AB27)),abaqus!B:B)</f>
        <v>2.8274334300000001</v>
      </c>
      <c r="K27">
        <f>IF(D27="E",I27,0)+IF(E27="E",-J27,0)</f>
        <v>2.8274334300000001</v>
      </c>
      <c r="L27">
        <f>IF(D27="F",-I27,0)+IF(E27="F",J27,0)</f>
        <v>2.8274334300000001</v>
      </c>
      <c r="M27">
        <f>(K27+L27)*0.5*5.6/2</f>
        <v>7.9168136039999997</v>
      </c>
      <c r="N27">
        <f>(K27-L27)/3.97/2*5.6/2</f>
        <v>0</v>
      </c>
      <c r="O27">
        <v>0</v>
      </c>
      <c r="P27">
        <v>161.33521413126385</v>
      </c>
      <c r="Q27">
        <v>60</v>
      </c>
      <c r="R27">
        <f t="shared" si="3"/>
        <v>-2073.6000000000004</v>
      </c>
      <c r="S27">
        <f t="shared" si="4"/>
        <v>2073.6000000000004</v>
      </c>
      <c r="T27">
        <f t="shared" si="0"/>
        <v>1440.4929833148558</v>
      </c>
      <c r="U27">
        <f>(1005-Q27/0.112)</f>
        <v>469.28571428571433</v>
      </c>
      <c r="V27" t="s">
        <v>45</v>
      </c>
      <c r="W27">
        <v>0</v>
      </c>
      <c r="X27">
        <v>0</v>
      </c>
      <c r="Y27">
        <v>0</v>
      </c>
      <c r="AA27">
        <f>IF(G27=100,H27,IF(G27=-100,-H27,IF(G27&lt;0,H27*(100+G27)/100,H27)))</f>
        <v>20</v>
      </c>
      <c r="AB27">
        <f>IF(G27=100,-H27,IF(G27=-100,H27,IF(G27&gt;0,H27*(100-G27)/100,H27)))</f>
        <v>20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87E31-F60A-4EE5-93AB-0E0E940848E6}">
  <sheetPr codeName="Sheet2"/>
  <dimension ref="A1:B102"/>
  <sheetViews>
    <sheetView topLeftCell="A74" workbookViewId="0"/>
  </sheetViews>
  <sheetFormatPr defaultRowHeight="14.4" x14ac:dyDescent="0.55000000000000004"/>
  <sheetData>
    <row r="1" spans="1:2" x14ac:dyDescent="0.55000000000000004">
      <c r="A1" t="s">
        <v>13</v>
      </c>
      <c r="B1" t="s">
        <v>11</v>
      </c>
    </row>
    <row r="2" spans="1:2" x14ac:dyDescent="0.55000000000000004">
      <c r="A2">
        <v>0</v>
      </c>
      <c r="B2">
        <v>0</v>
      </c>
    </row>
    <row r="3" spans="1:2" x14ac:dyDescent="0.55000000000000004">
      <c r="A3">
        <v>1</v>
      </c>
      <c r="B3">
        <v>0.141371672</v>
      </c>
    </row>
    <row r="4" spans="1:2" x14ac:dyDescent="0.55000000000000004">
      <c r="A4">
        <v>2</v>
      </c>
      <c r="B4">
        <v>0.28274334299999998</v>
      </c>
    </row>
    <row r="5" spans="1:2" x14ac:dyDescent="0.55000000000000004">
      <c r="A5">
        <v>3</v>
      </c>
      <c r="B5">
        <v>0.42411501499999998</v>
      </c>
    </row>
    <row r="6" spans="1:2" x14ac:dyDescent="0.55000000000000004">
      <c r="A6">
        <v>4</v>
      </c>
      <c r="B6">
        <v>0.56548668599999996</v>
      </c>
    </row>
    <row r="7" spans="1:2" x14ac:dyDescent="0.55000000000000004">
      <c r="A7">
        <v>5</v>
      </c>
      <c r="B7">
        <v>0.70685835799999996</v>
      </c>
    </row>
    <row r="8" spans="1:2" x14ac:dyDescent="0.55000000000000004">
      <c r="A8">
        <v>6</v>
      </c>
      <c r="B8">
        <v>0.848230029</v>
      </c>
    </row>
    <row r="9" spans="1:2" x14ac:dyDescent="0.55000000000000004">
      <c r="A9">
        <v>7</v>
      </c>
      <c r="B9">
        <v>0.989601701</v>
      </c>
    </row>
    <row r="10" spans="1:2" x14ac:dyDescent="0.55000000000000004">
      <c r="A10">
        <v>8</v>
      </c>
      <c r="B10">
        <v>1.1309733719999999</v>
      </c>
    </row>
    <row r="11" spans="1:2" x14ac:dyDescent="0.55000000000000004">
      <c r="A11">
        <v>9</v>
      </c>
      <c r="B11">
        <v>1.2723450439999999</v>
      </c>
    </row>
    <row r="12" spans="1:2" x14ac:dyDescent="0.55000000000000004">
      <c r="A12">
        <v>10</v>
      </c>
      <c r="B12">
        <v>1.4137167150000001</v>
      </c>
    </row>
    <row r="13" spans="1:2" x14ac:dyDescent="0.55000000000000004">
      <c r="A13">
        <v>11</v>
      </c>
      <c r="B13">
        <v>1.5550883870000001</v>
      </c>
    </row>
    <row r="14" spans="1:2" x14ac:dyDescent="0.55000000000000004">
      <c r="A14">
        <v>12</v>
      </c>
      <c r="B14">
        <v>1.696460058</v>
      </c>
    </row>
    <row r="15" spans="1:2" x14ac:dyDescent="0.55000000000000004">
      <c r="A15">
        <v>13</v>
      </c>
      <c r="B15">
        <v>1.83783173</v>
      </c>
    </row>
    <row r="16" spans="1:2" x14ac:dyDescent="0.55000000000000004">
      <c r="A16">
        <v>14</v>
      </c>
      <c r="B16">
        <v>1.9792034009999999</v>
      </c>
    </row>
    <row r="17" spans="1:2" x14ac:dyDescent="0.55000000000000004">
      <c r="A17">
        <v>15</v>
      </c>
      <c r="B17">
        <v>2.1205750729999999</v>
      </c>
    </row>
    <row r="18" spans="1:2" x14ac:dyDescent="0.55000000000000004">
      <c r="A18">
        <v>16</v>
      </c>
      <c r="B18">
        <v>2.2619467439999998</v>
      </c>
    </row>
    <row r="19" spans="1:2" x14ac:dyDescent="0.55000000000000004">
      <c r="A19">
        <v>17</v>
      </c>
      <c r="B19">
        <v>2.4033184159999998</v>
      </c>
    </row>
    <row r="20" spans="1:2" x14ac:dyDescent="0.55000000000000004">
      <c r="A20">
        <v>18</v>
      </c>
      <c r="B20">
        <v>2.5446900870000002</v>
      </c>
    </row>
    <row r="21" spans="1:2" x14ac:dyDescent="0.55000000000000004">
      <c r="A21">
        <v>19</v>
      </c>
      <c r="B21">
        <v>2.6860617590000002</v>
      </c>
    </row>
    <row r="22" spans="1:2" x14ac:dyDescent="0.55000000000000004">
      <c r="A22">
        <v>20</v>
      </c>
      <c r="B22">
        <v>2.8274334300000001</v>
      </c>
    </row>
    <row r="23" spans="1:2" x14ac:dyDescent="0.55000000000000004">
      <c r="A23">
        <v>21</v>
      </c>
      <c r="B23">
        <v>2.9688051020000001</v>
      </c>
    </row>
    <row r="24" spans="1:2" x14ac:dyDescent="0.55000000000000004">
      <c r="A24">
        <v>22</v>
      </c>
      <c r="B24">
        <v>3.1101767730000001</v>
      </c>
    </row>
    <row r="25" spans="1:2" x14ac:dyDescent="0.55000000000000004">
      <c r="A25">
        <v>23</v>
      </c>
      <c r="B25">
        <v>3.2515484450000001</v>
      </c>
    </row>
    <row r="26" spans="1:2" x14ac:dyDescent="0.55000000000000004">
      <c r="A26">
        <v>24</v>
      </c>
      <c r="B26">
        <v>3.392920116</v>
      </c>
    </row>
    <row r="27" spans="1:2" x14ac:dyDescent="0.55000000000000004">
      <c r="A27">
        <v>25</v>
      </c>
      <c r="B27">
        <v>3.534291788</v>
      </c>
    </row>
    <row r="28" spans="1:2" x14ac:dyDescent="0.55000000000000004">
      <c r="A28">
        <v>26</v>
      </c>
      <c r="B28">
        <v>3.6756634589999999</v>
      </c>
    </row>
    <row r="29" spans="1:2" x14ac:dyDescent="0.55000000000000004">
      <c r="A29">
        <v>27</v>
      </c>
      <c r="B29">
        <v>3.8170351309999999</v>
      </c>
    </row>
    <row r="30" spans="1:2" x14ac:dyDescent="0.55000000000000004">
      <c r="A30">
        <v>28</v>
      </c>
      <c r="B30">
        <v>3.9584068019999998</v>
      </c>
    </row>
    <row r="31" spans="1:2" x14ac:dyDescent="0.55000000000000004">
      <c r="A31">
        <v>29</v>
      </c>
      <c r="B31">
        <v>4.0997784739999998</v>
      </c>
    </row>
    <row r="32" spans="1:2" x14ac:dyDescent="0.55000000000000004">
      <c r="A32">
        <v>30</v>
      </c>
      <c r="B32">
        <v>4.2411501449999998</v>
      </c>
    </row>
    <row r="33" spans="1:2" x14ac:dyDescent="0.55000000000000004">
      <c r="A33">
        <v>31</v>
      </c>
      <c r="B33">
        <v>4.3825218169999998</v>
      </c>
    </row>
    <row r="34" spans="1:2" x14ac:dyDescent="0.55000000000000004">
      <c r="A34">
        <v>32</v>
      </c>
      <c r="B34">
        <v>4.5238934879999997</v>
      </c>
    </row>
    <row r="35" spans="1:2" x14ac:dyDescent="0.55000000000000004">
      <c r="A35">
        <v>33</v>
      </c>
      <c r="B35">
        <v>4.6652651599999997</v>
      </c>
    </row>
    <row r="36" spans="1:2" x14ac:dyDescent="0.55000000000000004">
      <c r="A36">
        <v>34</v>
      </c>
      <c r="B36">
        <v>4.8066368309999996</v>
      </c>
    </row>
    <row r="37" spans="1:2" x14ac:dyDescent="0.55000000000000004">
      <c r="A37">
        <v>35</v>
      </c>
      <c r="B37">
        <v>4.9480085029999996</v>
      </c>
    </row>
    <row r="38" spans="1:2" x14ac:dyDescent="0.55000000000000004">
      <c r="A38">
        <v>36</v>
      </c>
      <c r="B38">
        <v>5.0893801740000004</v>
      </c>
    </row>
    <row r="39" spans="1:2" x14ac:dyDescent="0.55000000000000004">
      <c r="A39">
        <v>37</v>
      </c>
      <c r="B39">
        <v>5.2307518460000004</v>
      </c>
    </row>
    <row r="40" spans="1:2" x14ac:dyDescent="0.55000000000000004">
      <c r="A40">
        <v>38</v>
      </c>
      <c r="B40">
        <v>5.3721235170000003</v>
      </c>
    </row>
    <row r="41" spans="1:2" x14ac:dyDescent="0.55000000000000004">
      <c r="A41">
        <v>39</v>
      </c>
      <c r="B41">
        <v>5.5134951890000004</v>
      </c>
    </row>
    <row r="42" spans="1:2" x14ac:dyDescent="0.55000000000000004">
      <c r="A42">
        <v>40</v>
      </c>
      <c r="B42">
        <v>5.6548668600000003</v>
      </c>
    </row>
    <row r="43" spans="1:2" x14ac:dyDescent="0.55000000000000004">
      <c r="A43">
        <v>41</v>
      </c>
      <c r="B43">
        <v>5.7962385320000003</v>
      </c>
    </row>
    <row r="44" spans="1:2" x14ac:dyDescent="0.55000000000000004">
      <c r="A44">
        <v>42</v>
      </c>
      <c r="B44">
        <v>5.9376102030000002</v>
      </c>
    </row>
    <row r="45" spans="1:2" x14ac:dyDescent="0.55000000000000004">
      <c r="A45">
        <v>43</v>
      </c>
      <c r="B45">
        <v>6.0789818750000002</v>
      </c>
    </row>
    <row r="46" spans="1:2" x14ac:dyDescent="0.55000000000000004">
      <c r="A46">
        <v>44</v>
      </c>
      <c r="B46">
        <v>6.2203535460000001</v>
      </c>
    </row>
    <row r="47" spans="1:2" x14ac:dyDescent="0.55000000000000004">
      <c r="A47">
        <v>45</v>
      </c>
      <c r="B47">
        <v>6.3617252180000001</v>
      </c>
    </row>
    <row r="48" spans="1:2" x14ac:dyDescent="0.55000000000000004">
      <c r="A48">
        <v>46</v>
      </c>
      <c r="B48">
        <v>6.503096889</v>
      </c>
    </row>
    <row r="49" spans="1:2" x14ac:dyDescent="0.55000000000000004">
      <c r="A49">
        <v>47</v>
      </c>
      <c r="B49">
        <v>6.6444685610000001</v>
      </c>
    </row>
    <row r="50" spans="1:2" x14ac:dyDescent="0.55000000000000004">
      <c r="A50">
        <v>48</v>
      </c>
      <c r="B50">
        <v>6.785840232</v>
      </c>
    </row>
    <row r="51" spans="1:2" x14ac:dyDescent="0.55000000000000004">
      <c r="A51">
        <v>49</v>
      </c>
      <c r="B51">
        <v>6.927211904</v>
      </c>
    </row>
    <row r="52" spans="1:2" x14ac:dyDescent="0.55000000000000004">
      <c r="A52">
        <v>50</v>
      </c>
      <c r="B52">
        <v>7.0685835749999999</v>
      </c>
    </row>
    <row r="53" spans="1:2" x14ac:dyDescent="0.55000000000000004">
      <c r="A53">
        <v>51</v>
      </c>
      <c r="B53">
        <v>7.2099552469999999</v>
      </c>
    </row>
    <row r="54" spans="1:2" x14ac:dyDescent="0.55000000000000004">
      <c r="A54">
        <v>52</v>
      </c>
      <c r="B54">
        <v>7.3513269179999998</v>
      </c>
    </row>
    <row r="55" spans="1:2" x14ac:dyDescent="0.55000000000000004">
      <c r="A55">
        <v>53</v>
      </c>
      <c r="B55">
        <v>7.4926985899999998</v>
      </c>
    </row>
    <row r="56" spans="1:2" x14ac:dyDescent="0.55000000000000004">
      <c r="A56">
        <v>54</v>
      </c>
      <c r="B56">
        <v>7.6340702609999997</v>
      </c>
    </row>
    <row r="57" spans="1:2" x14ac:dyDescent="0.55000000000000004">
      <c r="A57">
        <v>55</v>
      </c>
      <c r="B57">
        <v>7.7754419329999998</v>
      </c>
    </row>
    <row r="58" spans="1:2" x14ac:dyDescent="0.55000000000000004">
      <c r="A58">
        <v>56</v>
      </c>
      <c r="B58">
        <v>7.9168136039999997</v>
      </c>
    </row>
    <row r="59" spans="1:2" x14ac:dyDescent="0.55000000000000004">
      <c r="A59">
        <v>57</v>
      </c>
      <c r="B59">
        <v>8.0581852759999997</v>
      </c>
    </row>
    <row r="60" spans="1:2" x14ac:dyDescent="0.55000000000000004">
      <c r="A60">
        <v>58</v>
      </c>
      <c r="B60">
        <v>8.1995569469999996</v>
      </c>
    </row>
    <row r="61" spans="1:2" x14ac:dyDescent="0.55000000000000004">
      <c r="A61">
        <v>59</v>
      </c>
      <c r="B61">
        <v>8.3409286189999996</v>
      </c>
    </row>
    <row r="62" spans="1:2" x14ac:dyDescent="0.55000000000000004">
      <c r="A62">
        <v>60</v>
      </c>
      <c r="B62">
        <v>8.4823002899999995</v>
      </c>
    </row>
    <row r="63" spans="1:2" x14ac:dyDescent="0.55000000000000004">
      <c r="A63">
        <v>61</v>
      </c>
      <c r="B63">
        <v>8.6236719619999995</v>
      </c>
    </row>
    <row r="64" spans="1:2" x14ac:dyDescent="0.55000000000000004">
      <c r="A64">
        <v>62</v>
      </c>
      <c r="B64">
        <v>8.7650436329999994</v>
      </c>
    </row>
    <row r="65" spans="1:2" x14ac:dyDescent="0.55000000000000004">
      <c r="A65">
        <v>63</v>
      </c>
      <c r="B65">
        <v>8.9064153049999994</v>
      </c>
    </row>
    <row r="66" spans="1:2" x14ac:dyDescent="0.55000000000000004">
      <c r="A66">
        <v>64</v>
      </c>
      <c r="B66">
        <v>9.0477869759999994</v>
      </c>
    </row>
    <row r="67" spans="1:2" x14ac:dyDescent="0.55000000000000004">
      <c r="A67">
        <v>65</v>
      </c>
      <c r="B67">
        <v>9.1891586479999994</v>
      </c>
    </row>
    <row r="68" spans="1:2" x14ac:dyDescent="0.55000000000000004">
      <c r="A68">
        <v>66</v>
      </c>
      <c r="B68">
        <v>9.3305303189999993</v>
      </c>
    </row>
    <row r="69" spans="1:2" x14ac:dyDescent="0.55000000000000004">
      <c r="A69">
        <v>67</v>
      </c>
      <c r="B69">
        <v>9.4719019909999993</v>
      </c>
    </row>
    <row r="70" spans="1:2" x14ac:dyDescent="0.55000000000000004">
      <c r="A70">
        <v>68</v>
      </c>
      <c r="B70">
        <v>9.6132736619999992</v>
      </c>
    </row>
    <row r="71" spans="1:2" x14ac:dyDescent="0.55000000000000004">
      <c r="A71">
        <v>69</v>
      </c>
      <c r="B71">
        <v>9.7546453339999992</v>
      </c>
    </row>
    <row r="72" spans="1:2" x14ac:dyDescent="0.55000000000000004">
      <c r="A72">
        <v>70</v>
      </c>
      <c r="B72">
        <v>9.8960170049999991</v>
      </c>
    </row>
    <row r="73" spans="1:2" x14ac:dyDescent="0.55000000000000004">
      <c r="A73">
        <v>71</v>
      </c>
      <c r="B73">
        <v>10.037388679999999</v>
      </c>
    </row>
    <row r="74" spans="1:2" x14ac:dyDescent="0.55000000000000004">
      <c r="A74">
        <v>72</v>
      </c>
      <c r="B74">
        <v>10.178760349999999</v>
      </c>
    </row>
    <row r="75" spans="1:2" x14ac:dyDescent="0.55000000000000004">
      <c r="A75">
        <v>73</v>
      </c>
      <c r="B75">
        <v>10.320132020000001</v>
      </c>
    </row>
    <row r="76" spans="1:2" x14ac:dyDescent="0.55000000000000004">
      <c r="A76">
        <v>74</v>
      </c>
      <c r="B76">
        <v>10.461503690000001</v>
      </c>
    </row>
    <row r="77" spans="1:2" x14ac:dyDescent="0.55000000000000004">
      <c r="A77">
        <v>75</v>
      </c>
      <c r="B77">
        <v>10.602875360000001</v>
      </c>
    </row>
    <row r="78" spans="1:2" x14ac:dyDescent="0.55000000000000004">
      <c r="A78">
        <v>76</v>
      </c>
      <c r="B78">
        <v>10.74424703</v>
      </c>
    </row>
    <row r="79" spans="1:2" x14ac:dyDescent="0.55000000000000004">
      <c r="A79">
        <v>77</v>
      </c>
      <c r="B79">
        <v>10.885618709999999</v>
      </c>
    </row>
    <row r="80" spans="1:2" x14ac:dyDescent="0.55000000000000004">
      <c r="A80">
        <v>78</v>
      </c>
      <c r="B80">
        <v>11.026990380000001</v>
      </c>
    </row>
    <row r="81" spans="1:2" x14ac:dyDescent="0.55000000000000004">
      <c r="A81">
        <v>79</v>
      </c>
      <c r="B81">
        <v>11.168362050000001</v>
      </c>
    </row>
    <row r="82" spans="1:2" x14ac:dyDescent="0.55000000000000004">
      <c r="A82">
        <v>80</v>
      </c>
      <c r="B82">
        <v>11.309733720000001</v>
      </c>
    </row>
    <row r="83" spans="1:2" x14ac:dyDescent="0.55000000000000004">
      <c r="A83">
        <v>81</v>
      </c>
      <c r="B83">
        <v>11.45110539</v>
      </c>
    </row>
    <row r="84" spans="1:2" x14ac:dyDescent="0.55000000000000004">
      <c r="A84">
        <v>82</v>
      </c>
      <c r="B84">
        <v>11.59247706</v>
      </c>
    </row>
    <row r="85" spans="1:2" x14ac:dyDescent="0.55000000000000004">
      <c r="A85">
        <v>83</v>
      </c>
      <c r="B85">
        <v>11.73384873</v>
      </c>
    </row>
    <row r="86" spans="1:2" x14ac:dyDescent="0.55000000000000004">
      <c r="A86">
        <v>84</v>
      </c>
      <c r="B86">
        <v>11.875220410000001</v>
      </c>
    </row>
    <row r="87" spans="1:2" x14ac:dyDescent="0.55000000000000004">
      <c r="A87">
        <v>85</v>
      </c>
      <c r="B87">
        <v>12.016592080000001</v>
      </c>
    </row>
    <row r="88" spans="1:2" x14ac:dyDescent="0.55000000000000004">
      <c r="A88">
        <v>86</v>
      </c>
      <c r="B88">
        <v>12.15796375</v>
      </c>
    </row>
    <row r="89" spans="1:2" x14ac:dyDescent="0.55000000000000004">
      <c r="A89">
        <v>87</v>
      </c>
      <c r="B89">
        <v>12.29933542</v>
      </c>
    </row>
    <row r="90" spans="1:2" x14ac:dyDescent="0.55000000000000004">
      <c r="A90">
        <v>88</v>
      </c>
      <c r="B90">
        <v>12.44070709</v>
      </c>
    </row>
    <row r="91" spans="1:2" x14ac:dyDescent="0.55000000000000004">
      <c r="A91">
        <v>89</v>
      </c>
      <c r="B91">
        <v>12.58207876</v>
      </c>
    </row>
    <row r="92" spans="1:2" x14ac:dyDescent="0.55000000000000004">
      <c r="A92">
        <v>90</v>
      </c>
      <c r="B92">
        <v>12.723450440000001</v>
      </c>
    </row>
    <row r="93" spans="1:2" x14ac:dyDescent="0.55000000000000004">
      <c r="A93">
        <v>91</v>
      </c>
      <c r="B93">
        <v>12.86482211</v>
      </c>
    </row>
    <row r="94" spans="1:2" x14ac:dyDescent="0.55000000000000004">
      <c r="A94">
        <v>92</v>
      </c>
      <c r="B94">
        <v>13.00619378</v>
      </c>
    </row>
    <row r="95" spans="1:2" x14ac:dyDescent="0.55000000000000004">
      <c r="A95">
        <v>93</v>
      </c>
      <c r="B95">
        <v>13.14756545</v>
      </c>
    </row>
    <row r="96" spans="1:2" x14ac:dyDescent="0.55000000000000004">
      <c r="A96">
        <v>94</v>
      </c>
      <c r="B96">
        <v>13.28893712</v>
      </c>
    </row>
    <row r="97" spans="1:2" x14ac:dyDescent="0.55000000000000004">
      <c r="A97">
        <v>95</v>
      </c>
      <c r="B97">
        <v>13.43030879</v>
      </c>
    </row>
    <row r="98" spans="1:2" x14ac:dyDescent="0.55000000000000004">
      <c r="A98">
        <v>96</v>
      </c>
      <c r="B98">
        <v>13.57168046</v>
      </c>
    </row>
    <row r="99" spans="1:2" x14ac:dyDescent="0.55000000000000004">
      <c r="A99">
        <v>97</v>
      </c>
      <c r="B99">
        <v>13.71305214</v>
      </c>
    </row>
    <row r="100" spans="1:2" x14ac:dyDescent="0.55000000000000004">
      <c r="A100">
        <v>98</v>
      </c>
      <c r="B100">
        <v>13.85442381</v>
      </c>
    </row>
    <row r="101" spans="1:2" x14ac:dyDescent="0.55000000000000004">
      <c r="A101">
        <v>99</v>
      </c>
      <c r="B101">
        <v>13.99579548</v>
      </c>
    </row>
    <row r="102" spans="1:2" x14ac:dyDescent="0.55000000000000004">
      <c r="A102">
        <v>100</v>
      </c>
      <c r="B102">
        <v>14.13716715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start_pair</vt:lpstr>
      <vt:lpstr>start_tank_pair</vt:lpstr>
      <vt:lpstr>move_pair</vt:lpstr>
      <vt:lpstr>move_tank_pair</vt:lpstr>
      <vt:lpstr>run_to_position</vt:lpstr>
      <vt:lpstr>run_for_degrees</vt:lpstr>
      <vt:lpstr>run_to_degrees_counted</vt:lpstr>
      <vt:lpstr>run_for_seconds</vt:lpstr>
      <vt:lpstr>start_single</vt:lpstr>
      <vt:lpstr>color</vt:lpstr>
      <vt:lpstr>abaqus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Lemperiere Nadege</dc:creator>
  <cp:lastModifiedBy>Lemperiere Nadege</cp:lastModifiedBy>
  <dcterms:created xsi:type="dcterms:W3CDTF">2023-03-09T15:48:35Z</dcterms:created>
  <dcterms:modified xsi:type="dcterms:W3CDTF">2023-03-31T12:40:00Z</dcterms:modified>
</cp:coreProperties>
</file>